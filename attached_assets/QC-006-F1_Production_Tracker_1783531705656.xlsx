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exclusivefab.sharepoint.com/sites/ExclusiveMetalsFabrication/Shared Documents/"/>
    </mc:Choice>
  </mc:AlternateContent>
  <xr:revisionPtr revIDLastSave="23" documentId="11_7BF08B018185DD14257BE672A460EB4AB72B665A" xr6:coauthVersionLast="47" xr6:coauthVersionMax="47" xr10:uidLastSave="{F1561B53-B87D-44B3-B507-F736D68761AC}"/>
  <bookViews>
    <workbookView xWindow="28680" yWindow="-4380" windowWidth="29040" windowHeight="15720" firstSheet="1" activeTab="1" xr2:uid="{00000000-000D-0000-FFFF-FFFF00000000}"/>
  </bookViews>
  <sheets>
    <sheet name="Dashboard" sheetId="1" r:id="rId1"/>
    <sheet name="Detail" sheetId="2" r:id="rId2"/>
    <sheet name="Parts" sheetId="3" r:id="rId3"/>
    <sheet name="Lookups" sheetId="4" r:id="rId4"/>
    <sheet name="Instructions" sheetId="5" r:id="rId5"/>
  </sheets>
  <definedNames>
    <definedName name="_xlnm._FilterDatabase" localSheetId="1" hidden="1">Detail!$A$9:$L$209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1" l="1"/>
  <c r="O8" i="1"/>
  <c r="N8" i="1"/>
  <c r="M8" i="1"/>
  <c r="L8" i="1"/>
  <c r="K8" i="1"/>
  <c r="J8" i="1"/>
  <c r="I8" i="1"/>
  <c r="H8" i="1"/>
  <c r="G8" i="1"/>
  <c r="F8" i="1"/>
  <c r="E8" i="1"/>
  <c r="P7" i="1"/>
  <c r="O7" i="1"/>
  <c r="N7" i="1"/>
  <c r="M7" i="1"/>
  <c r="L7" i="1"/>
  <c r="K7" i="1"/>
  <c r="J7" i="1"/>
  <c r="I7" i="1"/>
  <c r="H7" i="1"/>
  <c r="G7" i="1"/>
  <c r="F7" i="1"/>
  <c r="E7" i="1"/>
  <c r="P6" i="1"/>
  <c r="O6" i="1"/>
  <c r="N6" i="1"/>
  <c r="M6" i="1"/>
  <c r="L6" i="1"/>
  <c r="K6" i="1"/>
  <c r="J6" i="1"/>
  <c r="I6" i="1"/>
  <c r="H6" i="1"/>
  <c r="G6" i="1"/>
  <c r="F6" i="1"/>
  <c r="E6" i="1"/>
  <c r="P5" i="1"/>
  <c r="O5" i="1"/>
  <c r="N5" i="1"/>
  <c r="M5" i="1"/>
  <c r="L5" i="1"/>
  <c r="K5" i="1"/>
  <c r="J5" i="1"/>
  <c r="I5" i="1"/>
  <c r="H5" i="1"/>
  <c r="G5" i="1"/>
  <c r="F5" i="1"/>
  <c r="E5" i="1"/>
  <c r="R7" i="1" l="1"/>
  <c r="Q6" i="1"/>
  <c r="R8" i="1"/>
  <c r="R5" i="1"/>
  <c r="Q5" i="1"/>
  <c r="Q7" i="1"/>
  <c r="R6" i="1"/>
  <c r="Q8" i="1"/>
</calcChain>
</file>

<file path=xl/sharedStrings.xml><?xml version="1.0" encoding="utf-8"?>
<sst xmlns="http://schemas.openxmlformats.org/spreadsheetml/2006/main" count="758" uniqueCount="307">
  <si>
    <t>EXCLUSIVE METALS  —  PRODUCTION DASHBOARD</t>
  </si>
  <si>
    <t>Live rollup — counts of assemblies currently at each stage. Includes Folded Metal sub-stages. Updates automatically as Detail sheet is edited.</t>
  </si>
  <si>
    <t>— VENDOR PROCESSING —</t>
  </si>
  <si>
    <t>— IN-SHOP PIPELINE —</t>
  </si>
  <si>
    <t>Customer Job</t>
  </si>
  <si>
    <t>EM Job / Description</t>
  </si>
  <si>
    <t>Due Date</t>
  </si>
  <si>
    <t>Days Out</t>
  </si>
  <si>
    <t>Total Qty</t>
  </si>
  <si>
    <t>Sent</t>
  </si>
  <si>
    <t>At Vendor</t>
  </si>
  <si>
    <t>Ready PU</t>
  </si>
  <si>
    <t>Parts Proc.</t>
  </si>
  <si>
    <t>Cut</t>
  </si>
  <si>
    <t>Fit</t>
  </si>
  <si>
    <t>Welded</t>
  </si>
  <si>
    <t>Inspected</t>
  </si>
  <si>
    <t>Shipped</t>
  </si>
  <si>
    <t>On Hold</t>
  </si>
  <si>
    <t>Status</t>
  </si>
  <si>
    <t>% Done</t>
  </si>
  <si>
    <t>S&amp;S 431</t>
  </si>
  <si>
    <t>EM 25048  Handrail</t>
  </si>
  <si>
    <t>S&amp;S 434</t>
  </si>
  <si>
    <t>EM 25049  Handrail</t>
  </si>
  <si>
    <t>S&amp;S 465</t>
  </si>
  <si>
    <t>EM 25050  Stairs &amp; Handrail</t>
  </si>
  <si>
    <t>09/15/2026</t>
  </si>
  <si>
    <t>S&amp;S 469</t>
  </si>
  <si>
    <t>EM 25051  Stairs &amp; Handrail</t>
  </si>
  <si>
    <t>09/30/2026</t>
  </si>
  <si>
    <t>DETAIL  —  per-assembly entry (shop workstation)</t>
  </si>
  <si>
    <t>Update Current Stage on each row as work progresses. Dashboard rolls up automatically. One row per shippable assembly.</t>
  </si>
  <si>
    <t>Stages (in order):</t>
  </si>
  <si>
    <t>Parts Processing → Sent to Vendor → At Vendor → Ready for Pickup → Cut → Fit → Welded → Inspected → Shipped. In-house parts skip the three vendor stages.</t>
  </si>
  <si>
    <t>Processing Path:</t>
  </si>
  <si>
    <t>In-House = all fab done at EM. Folded Metal = larger plate/pipe/HSS sent out for cutting/forming. S&amp;S Steel = larger channels sent out for processing. Vendor parts return for fit/weld/inspection at EM.</t>
  </si>
  <si>
    <t>Hold:</t>
  </si>
  <si>
    <t>Set On Hold = Yes and fill in Hold Reason. The assembly keeps its Current Stage; Dashboard shows the held count and the job's Status flips to Hold.</t>
  </si>
  <si>
    <t>Adding rows:</t>
  </si>
  <si>
    <t>Type into the next blank row (rows 10-209 are pre-formatted). Dashboard rollup auto-includes new rows in that range.</t>
  </si>
  <si>
    <t>#</t>
  </si>
  <si>
    <t>Mark / Assy</t>
  </si>
  <si>
    <t>Description</t>
  </si>
  <si>
    <t>Qty</t>
  </si>
  <si>
    <t>Processing Path</t>
  </si>
  <si>
    <t>Current Stage</t>
  </si>
  <si>
    <t>On Hold?</t>
  </si>
  <si>
    <t>Hold Reason</t>
  </si>
  <si>
    <t>Crate #</t>
  </si>
  <si>
    <t>Notes</t>
  </si>
  <si>
    <t xml:space="preserve">  ▼  S&amp;S 431  —  4 assemblies (click [-] to collapse)</t>
  </si>
  <si>
    <t>50600HR</t>
  </si>
  <si>
    <t>Handrail Assembly</t>
  </si>
  <si>
    <t>Folded Metal</t>
  </si>
  <si>
    <t>No</t>
  </si>
  <si>
    <t>Built — awaiting shipment</t>
  </si>
  <si>
    <t>50601HR</t>
  </si>
  <si>
    <t>50807C</t>
  </si>
  <si>
    <t>Channel Assembly</t>
  </si>
  <si>
    <t>S&amp;S Steel</t>
  </si>
  <si>
    <t>Built per Carsen — no material/routing record on file; confirm</t>
  </si>
  <si>
    <t>50808C</t>
  </si>
  <si>
    <t xml:space="preserve">  ▼  S&amp;S 434  —  4 assemblies (click [-] to collapse)</t>
  </si>
  <si>
    <t>30600HR</t>
  </si>
  <si>
    <t>Parts Processing</t>
  </si>
  <si>
    <t>Not yet built; material ready to send to Folded Metal</t>
  </si>
  <si>
    <t>30601HR</t>
  </si>
  <si>
    <t>30602HR</t>
  </si>
  <si>
    <t>30603HR</t>
  </si>
  <si>
    <t xml:space="preserve">  ▼  S&amp;S 465  —  20 assemblies (click [-] to collapse)</t>
  </si>
  <si>
    <t>500GR</t>
  </si>
  <si>
    <t>Guardrail Assembly</t>
  </si>
  <si>
    <t>Built; shipped-vs-staged split pending (BOLs S01/S02 drafted). Path inferred from standard routing (QM-003) — confirm</t>
  </si>
  <si>
    <t>5000HR</t>
  </si>
  <si>
    <t>5000S</t>
  </si>
  <si>
    <t>Stair Assembly</t>
  </si>
  <si>
    <t>Shipped on S01</t>
  </si>
  <si>
    <t>5000S-1</t>
  </si>
  <si>
    <t>5000VB</t>
  </si>
  <si>
    <t>Vertical Brace Assembly</t>
  </si>
  <si>
    <t>5001GR</t>
  </si>
  <si>
    <t>5001HR</t>
  </si>
  <si>
    <t>5002HR</t>
  </si>
  <si>
    <t>5002P</t>
  </si>
  <si>
    <t>Plate Assembly</t>
  </si>
  <si>
    <t>5003B</t>
  </si>
  <si>
    <t>Beam Assembly</t>
  </si>
  <si>
    <t>5003HR</t>
  </si>
  <si>
    <t>5003P</t>
  </si>
  <si>
    <t>Shipped on S02</t>
  </si>
  <si>
    <t>5004B</t>
  </si>
  <si>
    <t>5004HR</t>
  </si>
  <si>
    <t>5004P</t>
  </si>
  <si>
    <t>5005HR</t>
  </si>
  <si>
    <t>5006HR</t>
  </si>
  <si>
    <t>5006P</t>
  </si>
  <si>
    <t>5007HR</t>
  </si>
  <si>
    <t>5012P</t>
  </si>
  <si>
    <t xml:space="preserve">  ▼  S&amp;S 469  —  16 assemblies (click [-] to collapse)</t>
  </si>
  <si>
    <t>8000GR</t>
  </si>
  <si>
    <t>Awaiting drawing &amp; file revisions before release to Folded Metal</t>
  </si>
  <si>
    <t>In production — revisions received. Path inferred from standard routing (QM-003) — confirm.</t>
  </si>
  <si>
    <t>8000HR</t>
  </si>
  <si>
    <t>8000L</t>
  </si>
  <si>
    <t>Ladder Assembly</t>
  </si>
  <si>
    <t>8000S</t>
  </si>
  <si>
    <t>8001GR</t>
  </si>
  <si>
    <t>8001HR</t>
  </si>
  <si>
    <t>8001S</t>
  </si>
  <si>
    <t>8002GR</t>
  </si>
  <si>
    <t>8002HR</t>
  </si>
  <si>
    <t>8002S</t>
  </si>
  <si>
    <t>8003GR</t>
  </si>
  <si>
    <t>8003HR</t>
  </si>
  <si>
    <t>8004GR</t>
  </si>
  <si>
    <t>8004HR</t>
  </si>
  <si>
    <t>8005GR</t>
  </si>
  <si>
    <t>8005HR</t>
  </si>
  <si>
    <t>8006HR</t>
  </si>
  <si>
    <t>8007HR</t>
  </si>
  <si>
    <t>8008HR</t>
  </si>
  <si>
    <t>PARTS  —  per-stock-type heat traceability (per assembly)</t>
  </si>
  <si>
    <t>One row per stock type per assembly. Heat # is captured by DCC at receipt (in-house material) or from QC-002-F2 work order (outside processed). Detail tab Heat #(s) column auto-rolls up from this sheet.</t>
  </si>
  <si>
    <t>Edge case: if same stock type came from MULTIPLE heats for one assembly, split the row — same Assembly Mark + Stock Type, different Piece Marks subsets, different Heat #.</t>
  </si>
  <si>
    <t>Job</t>
  </si>
  <si>
    <t>Assembly Mark</t>
  </si>
  <si>
    <t>Stock Type</t>
  </si>
  <si>
    <t>Piece Marks Included</t>
  </si>
  <si>
    <t>Heat #</t>
  </si>
  <si>
    <t>S&amp;S 431   —   EM 25048   Handrail</t>
  </si>
  <si>
    <t>PI 1-1/2 SCH40</t>
  </si>
  <si>
    <t>50600HR, pi7 (x3), pi8 (x5), pi9 (x4), pi10 (x2)</t>
  </si>
  <si>
    <t>202603447</t>
  </si>
  <si>
    <t>Main rail + posts</t>
  </si>
  <si>
    <t>PI 1-1/2 SCH80</t>
  </si>
  <si>
    <t>pi1 (x2), pi2 (x3), pi5, pi6</t>
  </si>
  <si>
    <t>15298321A2</t>
  </si>
  <si>
    <t>Heavy-wall pieces</t>
  </si>
  <si>
    <t>L 6x3-1/2x3/8</t>
  </si>
  <si>
    <t>a1 (x7)</t>
  </si>
  <si>
    <t>HA077453</t>
  </si>
  <si>
    <t>Angle clips (recv desc: L 6x4x3/8)</t>
  </si>
  <si>
    <t>PL 1/4" x 4"</t>
  </si>
  <si>
    <t>pL6, pL7, pL11</t>
  </si>
  <si>
    <t>15291861A1</t>
  </si>
  <si>
    <t>50601HR, pi4 (x6)</t>
  </si>
  <si>
    <t>Main rail</t>
  </si>
  <si>
    <t>pi1 (x2), pi2 (x2)</t>
  </si>
  <si>
    <t>a1 (x4)</t>
  </si>
  <si>
    <t>Angle clips</t>
  </si>
  <si>
    <t>pL12</t>
  </si>
  <si>
    <t>S&amp;S 434   —   EM 25049   Handrail (4 rails)</t>
  </si>
  <si>
    <t>FB 1/4" x 4"</t>
  </si>
  <si>
    <t>pL312</t>
  </si>
  <si>
    <t>PL 1/2" x 5"</t>
  </si>
  <si>
    <t>pL928 (x3)</t>
  </si>
  <si>
    <t>Heat not in receiving log — pre-traceability</t>
  </si>
  <si>
    <t>ROD 1-3/8"</t>
  </si>
  <si>
    <t>m142 (x3)</t>
  </si>
  <si>
    <t>P1375318</t>
  </si>
  <si>
    <t>pL323</t>
  </si>
  <si>
    <t>PL 1/4" x 2-1/2"</t>
  </si>
  <si>
    <t>pL356</t>
  </si>
  <si>
    <t>202601934</t>
  </si>
  <si>
    <t>pL325, pL926</t>
  </si>
  <si>
    <t>pL928 (x4), pL929</t>
  </si>
  <si>
    <t>m142 (x5)</t>
  </si>
  <si>
    <t>pL926, pL927</t>
  </si>
  <si>
    <t>PI 1" STD</t>
  </si>
  <si>
    <t>(job-level — pipe pkg not filed)</t>
  </si>
  <si>
    <t>HP004459</t>
  </si>
  <si>
    <t>Pipe manifest absent; heat job-level, assembly attribution pending</t>
  </si>
  <si>
    <t>PI 1-1/2" SCH80</t>
  </si>
  <si>
    <t>Assembly attribution pending</t>
  </si>
  <si>
    <t>PI 1-1/2" STD</t>
  </si>
  <si>
    <t>S&amp;S 465   —   EM 25050   Stairs &amp; Handrail</t>
  </si>
  <si>
    <t>C 6x2.157x.437</t>
  </si>
  <si>
    <t>202603986</t>
  </si>
  <si>
    <t>Job-level heat capture from receiving log; per-assembly attribution pending (built before full traceability). Assembly Mark intentionally blank.</t>
  </si>
  <si>
    <t>C 8x2.527x.487</t>
  </si>
  <si>
    <t>15314241A1</t>
  </si>
  <si>
    <t>C 12x2.96x.300</t>
  </si>
  <si>
    <t>25679709 (x2) / 14894212A1 (x2)</t>
  </si>
  <si>
    <t>Multiple heats — cannot split without consumption record</t>
  </si>
  <si>
    <t>FB 1/4" x 2"</t>
  </si>
  <si>
    <t>15266521A1</t>
  </si>
  <si>
    <t>FB 1/4" x 2-1/2"</t>
  </si>
  <si>
    <t>15267031A1</t>
  </si>
  <si>
    <t>FB 3/8" x 3-3/4"</t>
  </si>
  <si>
    <t>63435048</t>
  </si>
  <si>
    <t>Replaced returned 3/8x1/2 (heat 202605385)</t>
  </si>
  <si>
    <t>FB 3/8" x 3"</t>
  </si>
  <si>
    <t>15241481A1</t>
  </si>
  <si>
    <t>FB 3/8" x 6"</t>
  </si>
  <si>
    <t>65018273</t>
  </si>
  <si>
    <t>FB 3/8" x 8"</t>
  </si>
  <si>
    <t>15313061A1</t>
  </si>
  <si>
    <t>FB 1/2" x 5"</t>
  </si>
  <si>
    <t>HK299860</t>
  </si>
  <si>
    <t>FB 1/2" x 12"</t>
  </si>
  <si>
    <t>150482101A1</t>
  </si>
  <si>
    <t>FB 5/8" x 8"</t>
  </si>
  <si>
    <t>15254351A1</t>
  </si>
  <si>
    <t>FB 3/4" x 12"</t>
  </si>
  <si>
    <t>15227311A1</t>
  </si>
  <si>
    <t>Substituted for 5/8x12 (no bid)</t>
  </si>
  <si>
    <t>L 1-1/2x1-1/2x3/16</t>
  </si>
  <si>
    <t>31872251A</t>
  </si>
  <si>
    <t>L 2-1/2x2-1/2x1/4</t>
  </si>
  <si>
    <t>31854911A</t>
  </si>
  <si>
    <t>L 4x4x3/8</t>
  </si>
  <si>
    <t>15305521B2</t>
  </si>
  <si>
    <t>PI 1" SCH40</t>
  </si>
  <si>
    <t>31857311A</t>
  </si>
  <si>
    <t>31845511A</t>
  </si>
  <si>
    <t>PI 1-1/2" SCH40</t>
  </si>
  <si>
    <t>25689283 / 15253851A1 (x2) / 202600271 (x34)</t>
  </si>
  <si>
    <t>ROD 3/4"</t>
  </si>
  <si>
    <t>30854711A</t>
  </si>
  <si>
    <t>PL 5/8" x 60.5 x 144.5</t>
  </si>
  <si>
    <t>649848B9</t>
  </si>
  <si>
    <t>PO-465-001</t>
  </si>
  <si>
    <t>S&amp;S 469   —   EM 25051   Stairs &amp; Handrail</t>
  </si>
  <si>
    <t>Job-level heat capture from receiving log; per-assembly attribution pending (built before full traceability). Assembly Mark intentionally blank. | Status: Ordered</t>
  </si>
  <si>
    <t>14894212A1</t>
  </si>
  <si>
    <t>Ordered</t>
  </si>
  <si>
    <t>FB 3/16" x 2"</t>
  </si>
  <si>
    <t>25774852</t>
  </si>
  <si>
    <t>Received</t>
  </si>
  <si>
    <t>15312011A1</t>
  </si>
  <si>
    <t>FB 1/4" x 3"</t>
  </si>
  <si>
    <t>202600661</t>
  </si>
  <si>
    <t>FB 1/2" x 8"</t>
  </si>
  <si>
    <t>15305511A1</t>
  </si>
  <si>
    <t>15336511A2</t>
  </si>
  <si>
    <t>15333611A1</t>
  </si>
  <si>
    <t>31871811A</t>
  </si>
  <si>
    <t>25757370</t>
  </si>
  <si>
    <t>Corrected from 2577370 (Coast paperwork typo). MTR 25757370.pdf. Shared 465/469 stock per known purchasing consolidation — cross-job heat sharing expected.</t>
  </si>
  <si>
    <t>JOB COLOR PALETTE</t>
  </si>
  <si>
    <t>PRODUCTION STAGES (in order)</t>
  </si>
  <si>
    <t>Color Name</t>
  </si>
  <si>
    <t>Hex Code</t>
  </si>
  <si>
    <t>Sample</t>
  </si>
  <si>
    <t>Stage Name</t>
  </si>
  <si>
    <t>Color</t>
  </si>
  <si>
    <t>Meaning</t>
  </si>
  <si>
    <t>Red</t>
  </si>
  <si>
    <t>D32F2F</t>
  </si>
  <si>
    <t>Work order opened, drawing pulled, material allocated. Decisions made on path (In-House vs Folded Metal). Nothing physical yet.</t>
  </si>
  <si>
    <t>Blue</t>
  </si>
  <si>
    <t>1E63B5</t>
  </si>
  <si>
    <t>Sent to Vendor</t>
  </si>
  <si>
    <t>Material has been delivered or shipped to the vendor (Folded Metal or S&amp;S Steel) for cutting/forming. Awaiting vendor confirmation of receipt.</t>
  </si>
  <si>
    <t>Green</t>
  </si>
  <si>
    <t>2E8B3D</t>
  </si>
  <si>
    <t>The vendor has the parts and is actively processing them. DCC has confirmed work-in-progress with vendor.</t>
  </si>
  <si>
    <t>Black</t>
  </si>
  <si>
    <t>1F1F1F</t>
  </si>
  <si>
    <t>Ready for Pickup</t>
  </si>
  <si>
    <t>The vendor has finished. Parts are at the vendor waiting for EM to pick them up. This is an action-required state — schedule a pickup run.</t>
  </si>
  <si>
    <t>Yellow</t>
  </si>
  <si>
    <t>F5C518</t>
  </si>
  <si>
    <t>Material is in its final cut/formed state IN-HOUSE, ready for fit. Either in-house cut, OR received back from a vendor (Folded Metal/S&amp;S Steel).</t>
  </si>
  <si>
    <t>Parts are fit/assembled prior to weld (mock-up complete).</t>
  </si>
  <si>
    <t>Welding complete. Awaiting QC inspection &amp;#x2014; weld integrity, dim verify, finish check.</t>
  </si>
  <si>
    <t>QC inspection complete (welds, dims, finish all verified per QC checklist). Ready to be staged for shipment.</t>
  </si>
  <si>
    <t>Out the door. Reference the shipper number (e.g., S01) in Notes.</t>
  </si>
  <si>
    <t>PROCESSING PATHS</t>
  </si>
  <si>
    <t>In-House</t>
  </si>
  <si>
    <t>All cutting, forming, fitting, and welding done at EM.</t>
  </si>
  <si>
    <t>Larger plate / pipe / HSS material sent to Folded Metal for cutting/forming. EM does fit and weld in-house after parts are received back.</t>
  </si>
  <si>
    <t>Larger channels sent to S&amp;S Steel for processing. EM does fit and weld in-house after parts are received back.</t>
  </si>
  <si>
    <t>How to use the Production Tracker (QC-006-F1)</t>
  </si>
  <si>
    <t>Purpose</t>
  </si>
  <si>
    <t>A single live view of where every active job is in the production pipeline. Designed to broadcast on the shop TV (Dashboard sheet) and updated from the shop workstation (Detail sheet).</t>
  </si>
  <si>
    <t>Sheets</t>
  </si>
  <si>
    <t>Detail sheet = data entry. One row per shippable assembly. Floor updates Current Stage as work progresses. Dashboard sheet = read-only rollup, one row per job. Parts sheet = per-stock-type heat traceability (per assembly); DCC owns this — used when heat # capture is required per customer. Lookups and Instructions are reference.</t>
  </si>
  <si>
    <t>Workflow</t>
  </si>
  <si>
    <t>1) New job kicks off → add a Dashboard row (Job #, Color, Description, Due Date). 2) DCC seeds the Detail sheet with one row per shippable assembly; sets Processing Path = In-House, Folded Metal, or S&amp;S Steel; initial Current Stage = Parts Processing. 3) Shop foreman updates Current Stage at the workstation as each assembly progresses. 4) When an assembly ships, Current Stage → Shipped, add note referencing shipper number (e.g., "On S01").</t>
  </si>
  <si>
    <t>Stages (all 9, in order)</t>
  </si>
  <si>
    <t>Parts Processing → Sent to Vendor → At Vendor → Ready for Pickup → Cut → Fit → Welded → Inspected → Shipped. Stages 2-4 apply only to assemblies routed through a vendor (Folded Metal or S&amp;S Steel). In-house parts skip them and go from Parts Processing directly to Cut.</t>
  </si>
  <si>
    <t>Vendor processing lifecycle</t>
  </si>
  <si>
    <t>Sent to Vendor: material physically left EM, awaiting vendor confirmation of receipt. At Vendor: vendor has confirmed they're working on the parts. Ready for Pickup: vendor finished — schedule a pickup. Once picked up and back at EM, advance to Cut (the parts are now in cut form in-house, ready for fit).</t>
  </si>
  <si>
    <t>Partial FM batches</t>
  </si>
  <si>
    <t>If Folded Metal returns only some components of an assembly (e.g., 3 of 5 plates back, 2 still at FM), keep Current Stage at the worst remaining state — typically 'At Vendor' or 'Ready for Pickup'. Use the Notes column to track the breakdown: '3 of 5 received [date]. Awaiting 2 from FM.' Only advance Current Stage to Cut once ALL components are physically back at EM. Rule of thumb: assembly's stage = the earliest stage any of its components is at.</t>
  </si>
  <si>
    <t>Hold</t>
  </si>
  <si>
    <t>Set On Hold = Yes and fill in Hold Reason. The assembly keeps its Current Stage; Dashboard shows held count and job's Status flips to Hold. Hold reasons should be specific: "Awaiting drawing rev confirmation" not "Stuck."</t>
  </si>
  <si>
    <t>Parts tab</t>
  </si>
  <si>
    <t>One row per stock type per assembly. Captures which heat # was used for which piece marks. Owned by Document Control. Not currently active for shop floor — DCC will populate as heat capture becomes required (e.g., customer spec, code work). Job header rows are colored to match the Dashboard palette and data rows collapse under each job header (click the [-] outline button at the top-left). Edge case: if a single stock type came from multiple heats for the same assembly, split the row — same Assembly Mark + Stock Type, different Piece Marks subsets, different Heat #.</t>
  </si>
  <si>
    <t>When the crate builder loads an assembly into a shipping crate, they write the crate number on the Detail row. Format: 'C-01', 'C-02' for crates within a single shipment, or shipper-prefixed (e.g., 'S03-C01'). This links each assembly to its physical shipping container so the shipper docx (QC-006-F2) can be filled out from this data.</t>
  </si>
  <si>
    <t>Color coding</t>
  </si>
  <si>
    <t>Each job gets a single color from the palette in Lookups. The same color is used to physically mark material on the floor (paint pen, tag, etc.) so shop personnel can match material to a job at a glance. Dashboard shows the color band on the left of each job's row.</t>
  </si>
  <si>
    <t>Dashboard logic</t>
  </si>
  <si>
    <t>Each stage column shows the COUNT OF ASSEMBLIES CURRENTLY AT THAT EXACT STAGE for the job. So you can see distribution at a glance: e.g., '0 Parts Proc, 1 Sent, 2 At Vendor, 1 Ready PU, 1 Cut, 0 Fit, 3 Welded, 2 Inspected, 2 Shipped' tells you exactly where each piece is.</t>
  </si>
  <si>
    <t>Status column</t>
  </si>
  <si>
    <t>Derived from rollup. Hold beats everything. Then Shipped (all shipped), Ready to Ship (all inspected), At Vendor (anything at a vendor stage), In Fab (any in-shop work after Parts Processing), otherwise Not Started.</t>
  </si>
  <si>
    <t>Calculated from Due Date. Red when &lt;7 days, yellow at 7-14 days.</t>
  </si>
  <si>
    <t>Adding new jobs</t>
  </si>
  <si>
    <t>Insert a new row in the Dashboard between row 5 and the last job. Fill in Job #, Color, Description, Due Date — copy the stage/count formulas from the row above. Then seed Detail with one row per assembly.</t>
  </si>
  <si>
    <t>Adding new assemblies mid-job</t>
  </si>
  <si>
    <t>Type into the next blank row on Detail (rows 10-209 are pre-formatted with dropdowns). Dashboard rollup will automatically include them.</t>
  </si>
  <si>
    <t>Range limit</t>
  </si>
  <si>
    <t>Dashboard formulas reference Detail rows 10-209 (200 rows). If a single job ever exceeds that, formulas need updating. Tell Document Control if this becomes a constraint.</t>
  </si>
  <si>
    <t>Retention</t>
  </si>
  <si>
    <t>Per QC-006 §15, retained 7 years from job close. At job close, archive workbook to 02_Closed Jobs/[Year]/[Job#]/.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</si>
</sst>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20"/>
      <color rgb="FFFFFFFF"/>
      <name val="Calibri"/>
    </font>
    <font>
      <i/>
      <sz val="10"/>
      <color rgb="FF555555"/>
      <name val="Calibri"/>
    </font>
    <font>
      <b/>
      <sz val="10"/>
      <color rgb="FF1F3A6E"/>
      <name val="Calibri"/>
    </font>
    <font>
      <b/>
      <sz val="12"/>
      <color rgb="FFFFFFFF"/>
      <name val="Calibri"/>
    </font>
    <font>
      <b/>
      <sz val="14"/>
      <color rgb="FF1F3A6E"/>
      <name val="Calibri"/>
    </font>
    <font>
      <sz val="12"/>
      <name val="Calibri"/>
    </font>
    <font>
      <b/>
      <sz val="12"/>
      <name val="Calibri"/>
    </font>
    <font>
      <b/>
      <sz val="12"/>
      <color rgb="FF1F3A6E"/>
      <name val="Calibri"/>
    </font>
    <font>
      <b/>
      <sz val="16"/>
      <color rgb="FFFFFFFF"/>
      <name val="Calibri"/>
    </font>
    <font>
      <sz val="10"/>
      <name val="Calibri"/>
    </font>
    <font>
      <b/>
      <sz val="11"/>
      <color rgb="FFFFFFFF"/>
      <name val="Calibri"/>
    </font>
    <font>
      <b/>
      <sz val="10"/>
      <name val="Calibri"/>
    </font>
    <font>
      <b/>
      <sz val="14"/>
      <color rgb="FFFFFFFF"/>
      <name val="Calibri"/>
    </font>
  </fonts>
  <fills count="29">
    <fill>
      <patternFill patternType="none"/>
    </fill>
    <fill>
      <patternFill patternType="gray125"/>
    </fill>
    <fill>
      <patternFill patternType="solid">
        <fgColor rgb="FFD32F2F"/>
      </patternFill>
    </fill>
    <fill>
      <patternFill patternType="solid">
        <fgColor rgb="FFE1EDF7"/>
      </patternFill>
    </fill>
    <fill>
      <patternFill patternType="solid">
        <fgColor rgb="FFEDEDED"/>
      </patternFill>
    </fill>
    <fill>
      <patternFill patternType="solid">
        <fgColor rgb="FFFFEDBA"/>
      </patternFill>
    </fill>
    <fill>
      <patternFill patternType="solid">
        <fgColor rgb="FFFADBC7"/>
      </patternFill>
    </fill>
    <fill>
      <patternFill patternType="solid">
        <fgColor rgb="FFD2E4F3"/>
      </patternFill>
    </fill>
    <fill>
      <patternFill patternType="solid">
        <fgColor rgb="FFFFF3D1"/>
      </patternFill>
    </fill>
    <fill>
      <patternFill patternType="solid">
        <fgColor rgb="FFFBE7DA"/>
      </patternFill>
    </fill>
    <fill>
      <patternFill patternType="solid">
        <fgColor rgb="FFD8E9CC"/>
      </patternFill>
    </fill>
    <fill>
      <patternFill patternType="solid">
        <fgColor rgb="FFB2C6A4"/>
      </patternFill>
    </fill>
    <fill>
      <patternFill patternType="solid">
        <fgColor rgb="FF1E63B5"/>
      </patternFill>
    </fill>
    <fill>
      <patternFill patternType="solid">
        <fgColor rgb="FF2E8B3D"/>
      </patternFill>
    </fill>
    <fill>
      <patternFill patternType="solid">
        <fgColor rgb="FF1F1F1F"/>
      </patternFill>
    </fill>
    <fill>
      <patternFill patternType="solid">
        <fgColor rgb="FFF5C518"/>
      </patternFill>
    </fill>
    <fill>
      <patternFill patternType="solid">
        <fgColor rgb="FFBDD7EE"/>
      </patternFill>
    </fill>
    <fill>
      <patternFill patternType="solid">
        <fgColor rgb="FFD9D9D9"/>
      </patternFill>
    </fill>
    <fill>
      <patternFill patternType="solid">
        <fgColor rgb="FFFFD966"/>
      </patternFill>
    </fill>
    <fill>
      <patternFill patternType="solid">
        <fgColor rgb="FFF4B084"/>
      </patternFill>
    </fill>
    <fill>
      <patternFill patternType="solid">
        <fgColor rgb="FF9DC3E6"/>
      </patternFill>
    </fill>
    <fill>
      <patternFill patternType="solid">
        <fgColor rgb="FFFFE699"/>
      </patternFill>
    </fill>
    <fill>
      <patternFill patternType="solid">
        <fgColor rgb="FFF8CBAD"/>
      </patternFill>
    </fill>
    <fill>
      <patternFill patternType="solid">
        <fgColor rgb="FFA9D08E"/>
      </patternFill>
    </fill>
    <fill>
      <patternFill patternType="solid">
        <fgColor rgb="FF548235"/>
      </patternFill>
    </fill>
    <fill>
      <patternFill patternType="solid">
        <fgColor rgb="FFD9E1F2"/>
      </patternFill>
    </fill>
    <fill>
      <patternFill patternType="solid">
        <fgColor rgb="FFFFCCBC"/>
      </patternFill>
    </fill>
    <fill>
      <patternFill patternType="solid">
        <fgColor rgb="FF1F3A6E"/>
      </patternFill>
    </fill>
    <fill>
      <patternFill patternType="solid">
        <fgColor rgb="FFE8EEF7"/>
      </patternFill>
    </fill>
  </fills>
  <borders count="5">
    <border>
      <left/>
      <right/>
      <top/>
      <bottom/>
      <diagonal/>
    </border>
    <border>
      <left style="thin">
        <color rgb="FF1F3A6E"/>
      </left>
      <right style="thin">
        <color rgb="FF1F3A6E"/>
      </right>
      <top style="thin">
        <color rgb="FF1F3A6E"/>
      </top>
      <bottom style="thin">
        <color rgb="FF1F3A6E"/>
      </bottom>
      <diagonal/>
    </border>
    <border>
      <left style="thin">
        <color rgb="FFB0B0B0"/>
      </left>
      <right style="thin">
        <color rgb="FFB0B0B0"/>
      </right>
      <top style="thin">
        <color rgb="FFB0B0B0"/>
      </top>
      <bottom style="thin">
        <color rgb="FFB0B0B0"/>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3"/>
  </cellStyleXfs>
  <cellXfs count="69">
    <xf numFmtId="0" fontId="0" fillId="0" borderId="0" xfId="0" applyBorder="1"/>
    <xf numFmtId="0" fontId="0" fillId="2" borderId="1" xfId="0" applyFill="1" applyBorder="1"/>
    <xf numFmtId="0" fontId="5" fillId="0" borderId="1" xfId="0" applyFont="1" applyBorder="1" applyAlignment="1">
      <alignment horizontal="center"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11" borderId="1" xfId="0" applyFont="1" applyFill="1" applyBorder="1" applyAlignment="1">
      <alignment horizontal="center" vertical="center"/>
    </xf>
    <xf numFmtId="9" fontId="8" fillId="0" borderId="1" xfId="0" applyNumberFormat="1" applyFont="1" applyBorder="1" applyAlignment="1">
      <alignment horizontal="center" vertical="center"/>
    </xf>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0" borderId="1" xfId="0"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indent="1"/>
    </xf>
    <xf numFmtId="0" fontId="10" fillId="16" borderId="1" xfId="0" applyFont="1" applyFill="1" applyBorder="1"/>
    <xf numFmtId="0" fontId="10" fillId="0" borderId="1" xfId="0" applyFont="1" applyBorder="1" applyAlignment="1">
      <alignment horizontal="left" vertical="center" wrapText="1"/>
    </xf>
    <xf numFmtId="0" fontId="10" fillId="17" borderId="1" xfId="0" applyFont="1" applyFill="1" applyBorder="1"/>
    <xf numFmtId="0" fontId="10" fillId="18" borderId="1" xfId="0" applyFont="1" applyFill="1" applyBorder="1"/>
    <xf numFmtId="0" fontId="10" fillId="19" borderId="1" xfId="0" applyFont="1" applyFill="1" applyBorder="1"/>
    <xf numFmtId="0" fontId="10" fillId="20" borderId="1" xfId="0" applyFont="1" applyFill="1" applyBorder="1"/>
    <xf numFmtId="0" fontId="10" fillId="21" borderId="1" xfId="0" applyFont="1" applyFill="1" applyBorder="1"/>
    <xf numFmtId="0" fontId="10" fillId="22" borderId="1" xfId="0" applyFont="1" applyFill="1" applyBorder="1"/>
    <xf numFmtId="0" fontId="10" fillId="23" borderId="1" xfId="0" applyFont="1" applyFill="1" applyBorder="1"/>
    <xf numFmtId="0" fontId="10" fillId="24" borderId="1" xfId="0" applyFont="1" applyFill="1" applyBorder="1"/>
    <xf numFmtId="0" fontId="12" fillId="0" borderId="1" xfId="0" applyFont="1" applyBorder="1" applyAlignment="1">
      <alignment horizontal="left" vertical="center" indent="1"/>
    </xf>
    <xf numFmtId="0" fontId="0" fillId="0" borderId="1" xfId="0" applyBorder="1"/>
    <xf numFmtId="0" fontId="0" fillId="25" borderId="1" xfId="0" applyFill="1" applyBorder="1"/>
    <xf numFmtId="0" fontId="0" fillId="21" borderId="1" xfId="0" applyFill="1" applyBorder="1"/>
    <xf numFmtId="0" fontId="0" fillId="26" borderId="1" xfId="0" applyFill="1" applyBorder="1"/>
    <xf numFmtId="0" fontId="11" fillId="27" borderId="2" xfId="0" applyFont="1" applyFill="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left" vertical="center"/>
    </xf>
    <xf numFmtId="0" fontId="10" fillId="0" borderId="4" xfId="0" applyFont="1" applyBorder="1" applyAlignment="1">
      <alignment horizontal="left" vertical="center" wrapText="1"/>
    </xf>
    <xf numFmtId="0" fontId="10" fillId="0" borderId="3" xfId="0" applyFont="1"/>
    <xf numFmtId="0" fontId="10" fillId="13" borderId="3" xfId="0" applyFont="1" applyFill="1"/>
    <xf numFmtId="0" fontId="10" fillId="12" borderId="3" xfId="0" applyFont="1" applyFill="1"/>
    <xf numFmtId="0" fontId="10" fillId="2" borderId="3" xfId="0" applyFont="1" applyFill="1"/>
    <xf numFmtId="0" fontId="10" fillId="14" borderId="3" xfId="0" applyFont="1" applyFill="1"/>
    <xf numFmtId="0" fontId="4" fillId="27" borderId="1" xfId="0" applyFont="1" applyFill="1" applyBorder="1" applyAlignment="1">
      <alignment horizontal="center" vertical="center" wrapText="1"/>
    </xf>
    <xf numFmtId="0" fontId="11" fillId="27" borderId="1" xfId="0" applyFont="1" applyFill="1" applyBorder="1" applyAlignment="1">
      <alignment horizontal="center" vertical="center" wrapText="1"/>
    </xf>
    <xf numFmtId="0" fontId="3" fillId="28" borderId="1" xfId="0" applyFont="1" applyFill="1" applyBorder="1" applyAlignment="1">
      <alignment horizontal="center" vertical="center"/>
    </xf>
    <xf numFmtId="0" fontId="0" fillId="0" borderId="3" xfId="0"/>
    <xf numFmtId="0" fontId="3" fillId="0" borderId="3" xfId="0" applyFont="1" applyAlignment="1">
      <alignment horizontal="right" vertical="center"/>
    </xf>
    <xf numFmtId="0" fontId="3" fillId="0" borderId="3" xfId="0" applyFont="1" applyAlignment="1">
      <alignment horizontal="right" vertical="top" wrapText="1" indent="1"/>
    </xf>
    <xf numFmtId="0" fontId="10" fillId="0" borderId="3" xfId="0" applyFont="1" applyAlignment="1">
      <alignment horizontal="left" vertical="top" wrapText="1"/>
    </xf>
    <xf numFmtId="0" fontId="11" fillId="27" borderId="3" xfId="0" applyFont="1" applyFill="1" applyAlignment="1">
      <alignment horizontal="left" vertical="center"/>
    </xf>
    <xf numFmtId="0" fontId="10" fillId="0" borderId="3" xfId="0" applyFont="1" applyAlignment="1">
      <alignment horizontal="left" vertical="center" wrapText="1"/>
    </xf>
    <xf numFmtId="0" fontId="9" fillId="27" borderId="3" xfId="0" applyFont="1" applyFill="1" applyAlignment="1">
      <alignment horizontal="left" vertical="center" indent="2"/>
    </xf>
    <xf numFmtId="0" fontId="2" fillId="0" borderId="3" xfId="0" applyFont="1" applyAlignment="1">
      <alignment horizontal="left" vertical="center" indent="2"/>
    </xf>
    <xf numFmtId="0" fontId="1" fillId="27" borderId="3" xfId="0" applyFont="1" applyFill="1" applyAlignment="1">
      <alignment horizontal="left" vertical="center" indent="2"/>
    </xf>
    <xf numFmtId="0" fontId="3" fillId="28" borderId="3" xfId="0" applyFont="1" applyFill="1" applyAlignment="1">
      <alignment horizontal="center" vertical="center"/>
    </xf>
    <xf numFmtId="0" fontId="2" fillId="0" borderId="3" xfId="0" applyFont="1" applyAlignment="1">
      <alignment horizontal="left" vertical="center" wrapText="1" indent="1"/>
    </xf>
    <xf numFmtId="0" fontId="4" fillId="12" borderId="3" xfId="0" applyFont="1" applyFill="1" applyAlignment="1">
      <alignment horizontal="left" vertical="center"/>
    </xf>
    <xf numFmtId="0" fontId="10" fillId="0" borderId="3" xfId="0" applyFont="1" applyAlignment="1">
      <alignment horizontal="left" vertical="center" wrapText="1" indent="1"/>
    </xf>
    <xf numFmtId="0" fontId="4" fillId="14" borderId="3" xfId="0" applyFont="1" applyFill="1" applyAlignment="1">
      <alignment horizontal="left" vertical="center"/>
    </xf>
    <xf numFmtId="0" fontId="13" fillId="27" borderId="3" xfId="0" applyFont="1" applyFill="1" applyAlignment="1">
      <alignment horizontal="left" vertical="center" indent="1"/>
    </xf>
    <xf numFmtId="0" fontId="4" fillId="13" borderId="3" xfId="0" applyFont="1" applyFill="1" applyAlignment="1">
      <alignment horizontal="left" vertical="center"/>
    </xf>
    <xf numFmtId="0" fontId="4" fillId="2" borderId="3" xfId="0" applyFont="1" applyFill="1" applyAlignment="1">
      <alignment horizontal="left" vertical="center"/>
    </xf>
    <xf numFmtId="0" fontId="0" fillId="0" borderId="3" xfId="0" applyBorder="1" applyAlignment="1"/>
    <xf numFmtId="0" fontId="4" fillId="27" borderId="3" xfId="0" applyFont="1" applyFill="1" applyAlignment="1"/>
  </cellXfs>
  <cellStyles count="1">
    <cellStyle name="Normal" xfId="0" builtinId="0"/>
  </cellStyles>
  <dxfs count="23">
    <dxf>
      <fill>
        <patternFill patternType="solid">
          <fgColor rgb="FFC6E0B4"/>
        </patternFill>
      </fill>
    </dxf>
    <dxf>
      <font>
        <b/>
        <color rgb="FFFFFFFF"/>
      </font>
      <fill>
        <patternFill patternType="solid">
          <fgColor rgb="FFE06666"/>
        </patternFill>
      </fill>
    </dxf>
    <dxf>
      <fill>
        <patternFill patternType="solid">
          <fgColor rgb="FF8FAD7B"/>
        </patternFill>
      </fill>
    </dxf>
    <dxf>
      <fill>
        <patternFill patternType="solid">
          <fgColor rgb="FFC7E0B5"/>
        </patternFill>
      </fill>
    </dxf>
    <dxf>
      <fill>
        <patternFill patternType="solid">
          <fgColor rgb="FFFADDC9"/>
        </patternFill>
      </fill>
    </dxf>
    <dxf>
      <fill>
        <patternFill patternType="solid">
          <fgColor rgb="FFFFEEBC"/>
        </patternFill>
      </fill>
    </dxf>
    <dxf>
      <fill>
        <patternFill patternType="solid">
          <fgColor rgb="FFBFD8EE"/>
        </patternFill>
      </fill>
    </dxf>
    <dxf>
      <fill>
        <patternFill patternType="solid">
          <fgColor rgb="FFF7CBAF"/>
        </patternFill>
      </fill>
    </dxf>
    <dxf>
      <fill>
        <patternFill patternType="solid">
          <fgColor rgb="FFFFE69B"/>
        </patternFill>
      </fill>
    </dxf>
    <dxf>
      <fill>
        <patternFill patternType="solid">
          <fgColor rgb="FFE6E6E6"/>
        </patternFill>
      </fill>
    </dxf>
    <dxf>
      <fill>
        <patternFill patternType="solid">
          <fgColor rgb="FFD4E5F3"/>
        </patternFill>
      </fill>
    </dxf>
    <dxf>
      <fill>
        <patternFill patternType="solid">
          <fgColor rgb="FFFFCCBC"/>
        </patternFill>
      </fill>
    </dxf>
    <dxf>
      <fill>
        <patternFill patternType="solid">
          <fgColor rgb="FFFFE699"/>
        </patternFill>
      </fill>
    </dxf>
    <dxf>
      <fill>
        <patternFill patternType="solid">
          <fgColor rgb="FFD9E1F2"/>
        </patternFill>
      </fill>
    </dxf>
    <dxf>
      <fill>
        <patternFill patternType="solid">
          <fgColor rgb="FFF2F2F2"/>
        </patternFill>
      </fill>
    </dxf>
    <dxf>
      <fill>
        <patternFill patternType="solid">
          <fgColor rgb="FFE06666"/>
        </patternFill>
      </fill>
    </dxf>
    <dxf>
      <fill>
        <patternFill patternType="solid">
          <fgColor rgb="FFBDD7EE"/>
        </patternFill>
      </fill>
    </dxf>
    <dxf>
      <fill>
        <patternFill patternType="solid">
          <fgColor rgb="FFFFD966"/>
        </patternFill>
      </fill>
    </dxf>
    <dxf>
      <fill>
        <patternFill patternType="solid">
          <fgColor rgb="FFF8CBAD"/>
        </patternFill>
      </fill>
    </dxf>
    <dxf>
      <fill>
        <patternFill patternType="solid">
          <fgColor rgb="FFA9D08E"/>
        </patternFill>
      </fill>
    </dxf>
    <dxf>
      <fill>
        <patternFill patternType="solid">
          <fgColor rgb="FF548235"/>
        </patternFill>
      </fill>
    </dxf>
    <dxf>
      <font>
        <b/>
        <sz val="12"/>
        <color rgb="FF000000"/>
      </font>
      <fill>
        <patternFill patternType="solid">
          <fgColor rgb="FFFFD966"/>
        </patternFill>
      </fill>
    </dxf>
    <dxf>
      <font>
        <b/>
        <sz val="12"/>
        <color rgb="FFFFFFFF"/>
      </font>
      <fill>
        <patternFill patternType="solid">
          <fgColor rgb="FFE066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showGridLines="0" showRowColHeaders="0" workbookViewId="0">
      <pane ySplit="4" topLeftCell="A5" activePane="bottomLeft" state="frozen"/>
      <selection pane="bottomLeft" activeCell="C11" sqref="C11"/>
    </sheetView>
  </sheetViews>
  <sheetFormatPr defaultRowHeight="15"/>
  <cols>
    <col min="1" max="1" width="4" customWidth="1"/>
    <col min="2" max="2" width="12" customWidth="1"/>
    <col min="3" max="3" width="20" customWidth="1"/>
    <col min="4" max="4" width="12" customWidth="1"/>
    <col min="5" max="5" width="10" customWidth="1"/>
    <col min="6" max="6" width="9" customWidth="1"/>
    <col min="7" max="7" width="7" customWidth="1"/>
    <col min="8" max="9" width="9" customWidth="1"/>
    <col min="10" max="10" width="10" customWidth="1"/>
    <col min="11" max="12" width="6" customWidth="1"/>
    <col min="13" max="13" width="8" customWidth="1"/>
    <col min="14" max="14" width="9" customWidth="1"/>
    <col min="15" max="16" width="8" customWidth="1"/>
    <col min="17" max="17" width="13" customWidth="1"/>
    <col min="18" max="18" width="20" customWidth="1"/>
  </cols>
  <sheetData>
    <row r="1" spans="1:18" ht="39.950000000000003" customHeight="1">
      <c r="A1" s="58" t="s">
        <v>0</v>
      </c>
      <c r="B1" s="67"/>
      <c r="C1" s="67"/>
      <c r="D1" s="67"/>
      <c r="E1" s="67"/>
      <c r="F1" s="67"/>
      <c r="G1" s="67"/>
      <c r="H1" s="67"/>
      <c r="I1" s="67"/>
      <c r="J1" s="67"/>
      <c r="K1" s="67"/>
      <c r="L1" s="67"/>
      <c r="M1" s="67"/>
      <c r="N1" s="67"/>
      <c r="O1" s="67"/>
      <c r="P1" s="67"/>
      <c r="Q1" s="67"/>
      <c r="R1" s="67"/>
    </row>
    <row r="2" spans="1:18" ht="20.100000000000001" customHeight="1">
      <c r="A2" s="57" t="s">
        <v>1</v>
      </c>
      <c r="B2" s="67"/>
      <c r="C2" s="67"/>
      <c r="D2" s="67"/>
      <c r="E2" s="67"/>
      <c r="F2" s="67"/>
      <c r="G2" s="67"/>
      <c r="H2" s="67"/>
      <c r="I2" s="67"/>
      <c r="J2" s="67"/>
      <c r="K2" s="67"/>
      <c r="L2" s="67"/>
      <c r="M2" s="67"/>
      <c r="N2" s="67"/>
      <c r="O2" s="67"/>
      <c r="P2" s="67"/>
      <c r="Q2" s="67"/>
      <c r="R2" s="67"/>
    </row>
    <row r="3" spans="1:18" ht="18" customHeight="1">
      <c r="A3" s="50"/>
      <c r="B3" s="50"/>
      <c r="C3" s="50"/>
      <c r="D3" s="50"/>
      <c r="E3" s="50"/>
      <c r="F3" s="50"/>
      <c r="G3" s="59" t="s">
        <v>2</v>
      </c>
      <c r="H3" s="67"/>
      <c r="I3" s="67"/>
      <c r="J3" s="50"/>
      <c r="K3" s="59" t="s">
        <v>3</v>
      </c>
      <c r="L3" s="67"/>
      <c r="M3" s="67"/>
      <c r="N3" s="67"/>
      <c r="O3" s="67"/>
      <c r="P3" s="50"/>
      <c r="Q3" s="50"/>
      <c r="R3" s="50"/>
    </row>
    <row r="4" spans="1:18" ht="38.1" customHeight="1">
      <c r="A4" s="47"/>
      <c r="B4" s="47" t="s">
        <v>4</v>
      </c>
      <c r="C4" s="47" t="s">
        <v>5</v>
      </c>
      <c r="D4" s="47" t="s">
        <v>6</v>
      </c>
      <c r="E4" s="47" t="s">
        <v>7</v>
      </c>
      <c r="F4" s="47" t="s">
        <v>8</v>
      </c>
      <c r="G4" s="47" t="s">
        <v>9</v>
      </c>
      <c r="H4" s="47" t="s">
        <v>10</v>
      </c>
      <c r="I4" s="47" t="s">
        <v>11</v>
      </c>
      <c r="J4" s="47" t="s">
        <v>12</v>
      </c>
      <c r="K4" s="47" t="s">
        <v>13</v>
      </c>
      <c r="L4" s="47" t="s">
        <v>14</v>
      </c>
      <c r="M4" s="47" t="s">
        <v>15</v>
      </c>
      <c r="N4" s="47" t="s">
        <v>16</v>
      </c>
      <c r="O4" s="47" t="s">
        <v>17</v>
      </c>
      <c r="P4" s="47" t="s">
        <v>18</v>
      </c>
      <c r="Q4" s="47" t="s">
        <v>19</v>
      </c>
      <c r="R4" s="47" t="s">
        <v>20</v>
      </c>
    </row>
    <row r="5" spans="1:18" ht="33.950000000000003" customHeight="1">
      <c r="A5" s="17"/>
      <c r="B5" s="2" t="s">
        <v>21</v>
      </c>
      <c r="C5" s="3" t="s">
        <v>22</v>
      </c>
      <c r="D5" s="4"/>
      <c r="E5" s="5" t="str">
        <f ca="1">IF(D5="","",IFERROR(D5-TODAY(),DATEVALUE(D5)-TODAY()))</f>
        <v/>
      </c>
      <c r="F5" s="5">
        <f>SUMIFS(Detail!$E$10:$E$209,Detail!$B$10:$B$209,B5)</f>
        <v>4</v>
      </c>
      <c r="G5" s="6">
        <f>COUNTIFS(Detail!$B$10:$B$209,B5,Detail!$G$10:$G$209,"Sent to Vendor")</f>
        <v>0</v>
      </c>
      <c r="H5" s="7">
        <f>COUNTIFS(Detail!$B$10:$B$209,B5,Detail!$G$10:$G$209,"At Vendor")</f>
        <v>0</v>
      </c>
      <c r="I5" s="8">
        <f>COUNTIFS(Detail!$B$10:$B$209,B5,Detail!$G$10:$G$209,"Ready for Pickup")</f>
        <v>0</v>
      </c>
      <c r="J5" s="9">
        <f>COUNTIFS(Detail!$B$10:$B$209,B5,Detail!$G$10:$G$209,"Parts Processing")</f>
        <v>0</v>
      </c>
      <c r="K5" s="10">
        <f>COUNTIFS(Detail!$B$10:$B$209,B5,Detail!$G$10:$G$209,"Cut")</f>
        <v>0</v>
      </c>
      <c r="L5" s="11">
        <f>COUNTIFS(Detail!$B$10:$B$209,B5,Detail!$G$10:$G$209,"Fit")</f>
        <v>0</v>
      </c>
      <c r="M5" s="12">
        <f>COUNTIFS(Detail!$B$10:$B$209,B5,Detail!$G$10:$G$209,"Welded")</f>
        <v>0</v>
      </c>
      <c r="N5" s="13">
        <f>COUNTIFS(Detail!$B$10:$B$209,B5,Detail!$G$10:$G$209,"Inspected")</f>
        <v>4</v>
      </c>
      <c r="O5" s="14">
        <f>COUNTIFS(Detail!$B$10:$B$209,B5,Detail!$G$10:$G$209,"Shipped")</f>
        <v>0</v>
      </c>
      <c r="P5" s="5">
        <f>COUNTIFS(Detail!$B$10:$B$209,B5,Detail!$H$10:$H$209,"Yes")</f>
        <v>0</v>
      </c>
      <c r="Q5" s="5" t="str">
        <f>IF(F5=0,"—",IF(P5&gt;0,"⚠ Hold",IF(O5=F5,"✅ Shipped",IF(N5=F5,"Ready to Ship",IF((I5+H5+G5)&gt;0,"At Vendor",IF((M5+L5+K5)&gt;0,"In Fab","Not Started"))))))</f>
        <v>Ready to Ship</v>
      </c>
      <c r="R5" s="15">
        <f>IF(F5=0,0,(J5*1+G5*2+H5*3+I5*4+K5*5+L5*6+M5*7+N5*8+O5*9)/(9*F5))</f>
        <v>0.88888888888888884</v>
      </c>
    </row>
    <row r="6" spans="1:18" ht="33.950000000000003" customHeight="1">
      <c r="A6" s="16"/>
      <c r="B6" s="2" t="s">
        <v>23</v>
      </c>
      <c r="C6" s="3" t="s">
        <v>24</v>
      </c>
      <c r="D6" s="4"/>
      <c r="E6" s="5" t="str">
        <f ca="1">IF(D6="","",IFERROR(D6-TODAY(),DATEVALUE(D6)-TODAY()))</f>
        <v/>
      </c>
      <c r="F6" s="5">
        <f>SUMIFS(Detail!$E$10:$E$209,Detail!$B$10:$B$209,B6)</f>
        <v>4</v>
      </c>
      <c r="G6" s="6">
        <f>COUNTIFS(Detail!$B$10:$B$209,B6,Detail!$G$10:$G$209,"Sent to Vendor")</f>
        <v>0</v>
      </c>
      <c r="H6" s="7">
        <f>COUNTIFS(Detail!$B$10:$B$209,B6,Detail!$G$10:$G$209,"At Vendor")</f>
        <v>0</v>
      </c>
      <c r="I6" s="8">
        <f>COUNTIFS(Detail!$B$10:$B$209,B6,Detail!$G$10:$G$209,"Ready for Pickup")</f>
        <v>0</v>
      </c>
      <c r="J6" s="9">
        <f>COUNTIFS(Detail!$B$10:$B$209,B6,Detail!$G$10:$G$209,"Parts Processing")</f>
        <v>4</v>
      </c>
      <c r="K6" s="10">
        <f>COUNTIFS(Detail!$B$10:$B$209,B6,Detail!$G$10:$G$209,"Cut")</f>
        <v>0</v>
      </c>
      <c r="L6" s="11">
        <f>COUNTIFS(Detail!$B$10:$B$209,B6,Detail!$G$10:$G$209,"Fit")</f>
        <v>0</v>
      </c>
      <c r="M6" s="12">
        <f>COUNTIFS(Detail!$B$10:$B$209,B6,Detail!$G$10:$G$209,"Welded")</f>
        <v>0</v>
      </c>
      <c r="N6" s="13">
        <f>COUNTIFS(Detail!$B$10:$B$209,B6,Detail!$G$10:$G$209,"Inspected")</f>
        <v>0</v>
      </c>
      <c r="O6" s="14">
        <f>COUNTIFS(Detail!$B$10:$B$209,B6,Detail!$G$10:$G$209,"Shipped")</f>
        <v>0</v>
      </c>
      <c r="P6" s="5">
        <f>COUNTIFS(Detail!$B$10:$B$209,B6,Detail!$H$10:$H$209,"Yes")</f>
        <v>0</v>
      </c>
      <c r="Q6" s="5" t="str">
        <f>IF(F6=0,"—",IF(P6&gt;0,"⚠ Hold",IF(O6=F6,"✅ Shipped",IF(N6=F6,"Ready to Ship",IF((I6+H6+G6)&gt;0,"At Vendor",IF((M6+L6+K6)&gt;0,"In Fab","Not Started"))))))</f>
        <v>Not Started</v>
      </c>
      <c r="R6" s="15">
        <f>IF(F6=0,0,(J6*1+G6*2+H6*3+I6*4+K6*5+L6*6+M6*7+N6*8+O6*9)/(9*F6))</f>
        <v>0.1111111111111111</v>
      </c>
    </row>
    <row r="7" spans="1:18" ht="33.950000000000003" customHeight="1">
      <c r="A7" s="1"/>
      <c r="B7" s="2" t="s">
        <v>25</v>
      </c>
      <c r="C7" s="3" t="s">
        <v>26</v>
      </c>
      <c r="D7" s="4" t="s">
        <v>27</v>
      </c>
      <c r="E7" s="5">
        <f ca="1">IF(D7="","",IFERROR(D7-TODAY(),DATEVALUE(D7)-TODAY()))</f>
        <v>69</v>
      </c>
      <c r="F7" s="5">
        <f>SUMIFS(Detail!$E$10:$E$209,Detail!$B$10:$B$209,B7)</f>
        <v>20</v>
      </c>
      <c r="G7" s="6">
        <f>COUNTIFS(Detail!$B$10:$B$209,B7,Detail!$G$10:$G$209,"Sent to Vendor")</f>
        <v>0</v>
      </c>
      <c r="H7" s="7">
        <f>COUNTIFS(Detail!$B$10:$B$209,B7,Detail!$G$10:$G$209,"At Vendor")</f>
        <v>0</v>
      </c>
      <c r="I7" s="8">
        <f>COUNTIFS(Detail!$B$10:$B$209,B7,Detail!$G$10:$G$209,"Ready for Pickup")</f>
        <v>0</v>
      </c>
      <c r="J7" s="9">
        <f>COUNTIFS(Detail!$B$10:$B$209,B7,Detail!$G$10:$G$209,"Parts Processing")</f>
        <v>0</v>
      </c>
      <c r="K7" s="10">
        <f>COUNTIFS(Detail!$B$10:$B$209,B7,Detail!$G$10:$G$209,"Cut")</f>
        <v>0</v>
      </c>
      <c r="L7" s="11">
        <f>COUNTIFS(Detail!$B$10:$B$209,B7,Detail!$G$10:$G$209,"Fit")</f>
        <v>0</v>
      </c>
      <c r="M7" s="12">
        <f>COUNTIFS(Detail!$B$10:$B$209,B7,Detail!$G$10:$G$209,"Welded")</f>
        <v>0</v>
      </c>
      <c r="N7" s="13">
        <f>COUNTIFS(Detail!$B$10:$B$209,B7,Detail!$G$10:$G$209,"Inspected")</f>
        <v>17</v>
      </c>
      <c r="O7" s="14">
        <f>COUNTIFS(Detail!$B$10:$B$209,B7,Detail!$G$10:$G$209,"Shipped")</f>
        <v>3</v>
      </c>
      <c r="P7" s="5">
        <f>COUNTIFS(Detail!$B$10:$B$209,B7,Detail!$H$10:$H$209,"Yes")</f>
        <v>0</v>
      </c>
      <c r="Q7" s="5" t="str">
        <f>IF(F7=0,"—",IF(P7&gt;0,"⚠ Hold",IF(O7=F7,"✅ Shipped",IF(N7=F7,"Ready to Ship",IF((I7+H7+G7)&gt;0,"At Vendor",IF((M7+L7+K7)&gt;0,"In Fab","Not Started"))))))</f>
        <v>Not Started</v>
      </c>
      <c r="R7" s="15">
        <f>IF(F7=0,0,(J7*1+G7*2+H7*3+I7*4+K7*5+L7*6+M7*7+N7*8+O7*9)/(9*F7))</f>
        <v>0.90555555555555556</v>
      </c>
    </row>
    <row r="8" spans="1:18" ht="33.950000000000003" customHeight="1">
      <c r="A8" s="18"/>
      <c r="B8" s="2" t="s">
        <v>28</v>
      </c>
      <c r="C8" s="3" t="s">
        <v>29</v>
      </c>
      <c r="D8" s="4" t="s">
        <v>30</v>
      </c>
      <c r="E8" s="5">
        <f ca="1">IF(D8="","",IFERROR(D8-TODAY(),DATEVALUE(D8)-TODAY()))</f>
        <v>84</v>
      </c>
      <c r="F8" s="5">
        <f>SUMIFS(Detail!$E$10:$E$209,Detail!$B$10:$B$209,B8)</f>
        <v>19</v>
      </c>
      <c r="G8" s="6">
        <f>COUNTIFS(Detail!$B$10:$B$209,B8,Detail!$G$10:$G$209,"Sent to Vendor")</f>
        <v>0</v>
      </c>
      <c r="H8" s="7">
        <f>COUNTIFS(Detail!$B$10:$B$209,B8,Detail!$G$10:$G$209,"At Vendor")</f>
        <v>0</v>
      </c>
      <c r="I8" s="8">
        <f>COUNTIFS(Detail!$B$10:$B$209,B8,Detail!$G$10:$G$209,"Ready for Pickup")</f>
        <v>0</v>
      </c>
      <c r="J8" s="9">
        <f>COUNTIFS(Detail!$B$10:$B$209,B8,Detail!$G$10:$G$209,"Parts Processing")</f>
        <v>19</v>
      </c>
      <c r="K8" s="10">
        <f>COUNTIFS(Detail!$B$10:$B$209,B8,Detail!$G$10:$G$209,"Cut")</f>
        <v>0</v>
      </c>
      <c r="L8" s="11">
        <f>COUNTIFS(Detail!$B$10:$B$209,B8,Detail!$G$10:$G$209,"Fit")</f>
        <v>0</v>
      </c>
      <c r="M8" s="12">
        <f>COUNTIFS(Detail!$B$10:$B$209,B8,Detail!$G$10:$G$209,"Welded")</f>
        <v>0</v>
      </c>
      <c r="N8" s="13">
        <f>COUNTIFS(Detail!$B$10:$B$209,B8,Detail!$G$10:$G$209,"Inspected")</f>
        <v>0</v>
      </c>
      <c r="O8" s="14">
        <f>COUNTIFS(Detail!$B$10:$B$209,B8,Detail!$G$10:$G$209,"Shipped")</f>
        <v>0</v>
      </c>
      <c r="P8" s="5">
        <f>COUNTIFS(Detail!$B$10:$B$209,B8,Detail!$H$10:$H$209,"Yes")</f>
        <v>0</v>
      </c>
      <c r="Q8" s="5" t="str">
        <f>IF(F8=0,"—",IF(P8&gt;0,"⚠ Hold",IF(O8=F8,"✅ Shipped",IF(N8=F8,"Ready to Ship",IF((I8+H8+G8)&gt;0,"At Vendor",IF((M8+L8+K8)&gt;0,"In Fab","Not Started"))))))</f>
        <v>Not Started</v>
      </c>
      <c r="R8" s="15">
        <f>IF(F8=0,0,(J8*1+G8*2+H8*3+I8*4+K8*5+L8*6+M8*7+N8*8+O8*9)/(9*F8))</f>
        <v>0.1111111111111111</v>
      </c>
    </row>
    <row r="9" spans="1:18" ht="33.950000000000003" customHeight="1">
      <c r="A9" s="34"/>
      <c r="B9" s="2"/>
      <c r="C9" s="3"/>
      <c r="D9" s="4"/>
      <c r="E9" s="5"/>
      <c r="F9" s="5"/>
      <c r="G9" s="4"/>
      <c r="H9" s="4"/>
      <c r="I9" s="4"/>
      <c r="J9" s="4"/>
      <c r="K9" s="4"/>
      <c r="L9" s="4"/>
      <c r="M9" s="4"/>
      <c r="N9" s="4"/>
      <c r="O9" s="4"/>
      <c r="P9" s="5"/>
      <c r="Q9" s="5"/>
      <c r="R9" s="15"/>
    </row>
  </sheetData>
  <mergeCells count="4">
    <mergeCell ref="A2:R2"/>
    <mergeCell ref="A1:R1"/>
    <mergeCell ref="G3:I3"/>
    <mergeCell ref="K3:O3"/>
  </mergeCells>
  <conditionalFormatting sqref="E5:E9">
    <cfRule type="cellIs" dxfId="22" priority="9" operator="lessThan">
      <formula>7</formula>
    </cfRule>
    <cfRule type="cellIs" dxfId="21" priority="10" operator="between">
      <formula>7</formula>
      <formula>14</formula>
    </cfRule>
  </conditionalFormatting>
  <conditionalFormatting sqref="Q5:Q9">
    <cfRule type="cellIs" dxfId="20" priority="1" operator="equal">
      <formula>"✅ Shipped"</formula>
    </cfRule>
    <cfRule type="cellIs" dxfId="19" priority="2" operator="equal">
      <formula>"Ready to Ship"</formula>
    </cfRule>
    <cfRule type="cellIs" dxfId="18" priority="3" operator="equal">
      <formula>"In Fab"</formula>
    </cfRule>
    <cfRule type="cellIs" dxfId="17" priority="4" operator="equal">
      <formula>"At Vendor"</formula>
    </cfRule>
    <cfRule type="cellIs" dxfId="16" priority="5" operator="equal">
      <formula>"Not Started"</formula>
    </cfRule>
    <cfRule type="cellIs" dxfId="15" priority="6" operator="equal">
      <formula>"⚠ Hold"</formula>
    </cfRule>
    <cfRule type="cellIs" dxfId="14" priority="7" operator="equal">
      <formula>"—"</formula>
    </cfRule>
  </conditionalFormatting>
  <conditionalFormatting sqref="R5:R9">
    <cfRule type="dataBar" priority="8">
      <dataBar>
        <cfvo type="num" val="0"/>
        <cfvo type="num" val="1"/>
        <color rgb="FF548235"/>
      </dataBar>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applyStyles="1" summaryBelow="0" summaryRight="0"/>
  </sheetPr>
  <dimension ref="A1:M212"/>
  <sheetViews>
    <sheetView tabSelected="1" workbookViewId="0">
      <pane xSplit="3" ySplit="9" topLeftCell="D10" activePane="bottomRight" state="frozen"/>
      <selection pane="bottomRight" activeCell="G34" sqref="G34"/>
      <selection pane="bottomLeft"/>
      <selection pane="topRight"/>
    </sheetView>
  </sheetViews>
  <sheetFormatPr defaultRowHeight="15" outlineLevelRow="1"/>
  <cols>
    <col min="1" max="1" width="5" customWidth="1"/>
    <col min="2" max="2" width="13" customWidth="1"/>
    <col min="3" max="3" width="18" customWidth="1"/>
    <col min="4" max="4" width="22" customWidth="1"/>
    <col min="5" max="5" width="7" customWidth="1"/>
    <col min="6" max="6" width="15" customWidth="1"/>
    <col min="7" max="7" width="20" customWidth="1"/>
    <col min="8" max="8" width="10" customWidth="1"/>
    <col min="9" max="9" width="26" customWidth="1"/>
    <col min="10" max="10" width="18" customWidth="1"/>
    <col min="11" max="11" width="10" customWidth="1"/>
    <col min="12" max="12" width="26" customWidth="1"/>
  </cols>
  <sheetData>
    <row r="1" spans="1:13" ht="32.1" customHeight="1">
      <c r="A1" s="56" t="s">
        <v>31</v>
      </c>
      <c r="B1" s="67"/>
      <c r="C1" s="67"/>
      <c r="D1" s="67"/>
      <c r="E1" s="67"/>
      <c r="F1" s="67"/>
      <c r="G1" s="67"/>
      <c r="H1" s="67"/>
      <c r="I1" s="67"/>
      <c r="J1" s="67"/>
      <c r="K1" s="67"/>
      <c r="L1" s="67"/>
      <c r="M1" s="67"/>
    </row>
    <row r="2" spans="1:13" ht="18" customHeight="1">
      <c r="A2" s="57" t="s">
        <v>32</v>
      </c>
      <c r="B2" s="67"/>
      <c r="C2" s="67"/>
      <c r="D2" s="67"/>
      <c r="E2" s="67"/>
      <c r="F2" s="67"/>
      <c r="G2" s="67"/>
      <c r="H2" s="67"/>
      <c r="I2" s="67"/>
      <c r="J2" s="67"/>
      <c r="K2" s="67"/>
      <c r="L2" s="67"/>
      <c r="M2" s="67"/>
    </row>
    <row r="3" spans="1:13" ht="20.100000000000001" customHeight="1">
      <c r="A3" s="51" t="s">
        <v>33</v>
      </c>
      <c r="B3" s="55" t="s">
        <v>34</v>
      </c>
      <c r="C3" s="67"/>
      <c r="D3" s="67"/>
      <c r="E3" s="67"/>
      <c r="F3" s="67"/>
      <c r="G3" s="67"/>
      <c r="H3" s="67"/>
      <c r="I3" s="67"/>
      <c r="J3" s="67"/>
      <c r="K3" s="67"/>
      <c r="L3" s="67"/>
      <c r="M3" s="67"/>
    </row>
    <row r="4" spans="1:13" ht="20.100000000000001" customHeight="1">
      <c r="A4" s="51" t="s">
        <v>35</v>
      </c>
      <c r="B4" s="55" t="s">
        <v>36</v>
      </c>
      <c r="C4" s="67"/>
      <c r="D4" s="67"/>
      <c r="E4" s="67"/>
      <c r="F4" s="67"/>
      <c r="G4" s="67"/>
      <c r="H4" s="67"/>
      <c r="I4" s="67"/>
      <c r="J4" s="67"/>
      <c r="K4" s="67"/>
      <c r="L4" s="67"/>
      <c r="M4" s="67"/>
    </row>
    <row r="5" spans="1:13" ht="20.100000000000001" customHeight="1">
      <c r="A5" s="51" t="s">
        <v>37</v>
      </c>
      <c r="B5" s="55" t="s">
        <v>38</v>
      </c>
      <c r="C5" s="67"/>
      <c r="D5" s="67"/>
      <c r="E5" s="67"/>
      <c r="F5" s="67"/>
      <c r="G5" s="67"/>
      <c r="H5" s="67"/>
      <c r="I5" s="67"/>
      <c r="J5" s="67"/>
      <c r="K5" s="67"/>
      <c r="L5" s="67"/>
      <c r="M5" s="67"/>
    </row>
    <row r="6" spans="1:13" ht="20.100000000000001" customHeight="1">
      <c r="A6" s="51" t="s">
        <v>39</v>
      </c>
      <c r="B6" s="55" t="s">
        <v>40</v>
      </c>
      <c r="C6" s="67"/>
      <c r="D6" s="67"/>
      <c r="E6" s="67"/>
      <c r="F6" s="67"/>
      <c r="G6" s="67"/>
      <c r="H6" s="67"/>
      <c r="I6" s="67"/>
      <c r="J6" s="67"/>
      <c r="K6" s="67"/>
      <c r="L6" s="67"/>
      <c r="M6" s="67"/>
    </row>
    <row r="7" spans="1:13" ht="6" customHeight="1">
      <c r="A7" s="50"/>
      <c r="B7" s="50"/>
      <c r="C7" s="50"/>
      <c r="D7" s="50"/>
      <c r="E7" s="50"/>
      <c r="F7" s="50"/>
      <c r="G7" s="50"/>
      <c r="H7" s="50"/>
      <c r="I7" s="50"/>
      <c r="J7" s="50"/>
      <c r="K7" s="50"/>
      <c r="L7" s="50"/>
      <c r="M7" s="50"/>
    </row>
    <row r="8" spans="1:13" ht="6" customHeight="1">
      <c r="A8" s="50"/>
      <c r="B8" s="50"/>
      <c r="C8" s="50"/>
      <c r="D8" s="50"/>
      <c r="E8" s="50"/>
      <c r="F8" s="50"/>
      <c r="G8" s="50"/>
      <c r="H8" s="50"/>
      <c r="I8" s="50"/>
      <c r="J8" s="50"/>
      <c r="K8" s="50"/>
      <c r="L8" s="50"/>
      <c r="M8" s="50"/>
    </row>
    <row r="9" spans="1:13" ht="27.95" customHeight="1">
      <c r="A9" s="48" t="s">
        <v>41</v>
      </c>
      <c r="B9" s="48" t="s">
        <v>4</v>
      </c>
      <c r="C9" s="48" t="s">
        <v>42</v>
      </c>
      <c r="D9" s="48" t="s">
        <v>43</v>
      </c>
      <c r="E9" s="48" t="s">
        <v>44</v>
      </c>
      <c r="F9" s="48" t="s">
        <v>45</v>
      </c>
      <c r="G9" s="48" t="s">
        <v>46</v>
      </c>
      <c r="H9" s="48" t="s">
        <v>47</v>
      </c>
      <c r="I9" s="48" t="s">
        <v>48</v>
      </c>
      <c r="J9" s="48" t="s">
        <v>49</v>
      </c>
      <c r="K9" s="48" t="s">
        <v>50</v>
      </c>
      <c r="L9" s="50"/>
      <c r="M9" s="50"/>
    </row>
    <row r="10" spans="1:13" ht="18.95" customHeight="1">
      <c r="A10" s="43"/>
      <c r="B10" s="54" t="s">
        <v>51</v>
      </c>
      <c r="C10" s="67"/>
      <c r="D10" s="67"/>
      <c r="E10" s="67"/>
      <c r="F10" s="67"/>
      <c r="G10" s="67"/>
      <c r="H10" s="67"/>
      <c r="I10" s="67"/>
      <c r="J10" s="67"/>
      <c r="K10" s="67"/>
      <c r="L10" s="67"/>
      <c r="M10" s="50"/>
    </row>
    <row r="11" spans="1:13" ht="18" customHeight="1" outlineLevel="1">
      <c r="A11" s="39">
        <v>1</v>
      </c>
      <c r="B11" s="39" t="s">
        <v>21</v>
      </c>
      <c r="C11" s="39" t="s">
        <v>52</v>
      </c>
      <c r="D11" s="40" t="s">
        <v>53</v>
      </c>
      <c r="E11" s="39">
        <v>1</v>
      </c>
      <c r="F11" s="39" t="s">
        <v>54</v>
      </c>
      <c r="G11" s="39" t="s">
        <v>16</v>
      </c>
      <c r="H11" s="39" t="s">
        <v>55</v>
      </c>
      <c r="I11" s="41"/>
      <c r="J11" s="39"/>
      <c r="K11" s="41" t="s">
        <v>56</v>
      </c>
      <c r="L11" s="42"/>
      <c r="M11" s="50"/>
    </row>
    <row r="12" spans="1:13" ht="18" customHeight="1" outlineLevel="1">
      <c r="A12" s="39">
        <v>2</v>
      </c>
      <c r="B12" s="39" t="s">
        <v>21</v>
      </c>
      <c r="C12" s="39" t="s">
        <v>57</v>
      </c>
      <c r="D12" s="40" t="s">
        <v>53</v>
      </c>
      <c r="E12" s="39">
        <v>1</v>
      </c>
      <c r="F12" s="39" t="s">
        <v>54</v>
      </c>
      <c r="G12" s="39" t="s">
        <v>16</v>
      </c>
      <c r="H12" s="39" t="s">
        <v>55</v>
      </c>
      <c r="I12" s="41"/>
      <c r="J12" s="39"/>
      <c r="K12" s="41" t="s">
        <v>56</v>
      </c>
      <c r="L12" s="42"/>
      <c r="M12" s="50"/>
    </row>
    <row r="13" spans="1:13" ht="18" customHeight="1" outlineLevel="1">
      <c r="A13" s="39">
        <v>3</v>
      </c>
      <c r="B13" s="39" t="s">
        <v>21</v>
      </c>
      <c r="C13" s="39" t="s">
        <v>58</v>
      </c>
      <c r="D13" s="40" t="s">
        <v>59</v>
      </c>
      <c r="E13" s="39">
        <v>1</v>
      </c>
      <c r="F13" s="39" t="s">
        <v>60</v>
      </c>
      <c r="G13" s="39" t="s">
        <v>16</v>
      </c>
      <c r="H13" s="39" t="s">
        <v>55</v>
      </c>
      <c r="I13" s="41"/>
      <c r="J13" s="39"/>
      <c r="K13" s="41" t="s">
        <v>61</v>
      </c>
      <c r="L13" s="42"/>
      <c r="M13" s="50"/>
    </row>
    <row r="14" spans="1:13" ht="18" customHeight="1" outlineLevel="1">
      <c r="A14" s="39">
        <v>4</v>
      </c>
      <c r="B14" s="39" t="s">
        <v>21</v>
      </c>
      <c r="C14" s="39" t="s">
        <v>62</v>
      </c>
      <c r="D14" s="40" t="s">
        <v>59</v>
      </c>
      <c r="E14" s="39">
        <v>1</v>
      </c>
      <c r="F14" s="39" t="s">
        <v>60</v>
      </c>
      <c r="G14" s="39" t="s">
        <v>16</v>
      </c>
      <c r="H14" s="39" t="s">
        <v>55</v>
      </c>
      <c r="I14" s="41"/>
      <c r="J14" s="39"/>
      <c r="K14" s="41" t="s">
        <v>61</v>
      </c>
      <c r="L14" s="42"/>
      <c r="M14" s="50"/>
    </row>
    <row r="15" spans="1:13" ht="18.95" customHeight="1">
      <c r="A15" s="44"/>
      <c r="B15" s="54" t="s">
        <v>63</v>
      </c>
      <c r="C15" s="67"/>
      <c r="D15" s="67"/>
      <c r="E15" s="67"/>
      <c r="F15" s="67"/>
      <c r="G15" s="67"/>
      <c r="H15" s="67"/>
      <c r="I15" s="67"/>
      <c r="J15" s="67"/>
      <c r="K15" s="67"/>
      <c r="L15" s="67"/>
      <c r="M15" s="50"/>
    </row>
    <row r="16" spans="1:13" ht="18" customHeight="1" outlineLevel="1">
      <c r="A16" s="39">
        <v>5</v>
      </c>
      <c r="B16" s="39" t="s">
        <v>23</v>
      </c>
      <c r="C16" s="39" t="s">
        <v>64</v>
      </c>
      <c r="D16" s="40" t="s">
        <v>53</v>
      </c>
      <c r="E16" s="39">
        <v>1</v>
      </c>
      <c r="F16" s="39" t="s">
        <v>54</v>
      </c>
      <c r="G16" s="39" t="s">
        <v>65</v>
      </c>
      <c r="H16" s="39" t="s">
        <v>55</v>
      </c>
      <c r="I16" s="41"/>
      <c r="J16" s="39"/>
      <c r="K16" s="41" t="s">
        <v>66</v>
      </c>
      <c r="L16" s="42"/>
      <c r="M16" s="50"/>
    </row>
    <row r="17" spans="1:12" ht="18" customHeight="1" outlineLevel="1">
      <c r="A17" s="39">
        <v>6</v>
      </c>
      <c r="B17" s="39" t="s">
        <v>23</v>
      </c>
      <c r="C17" s="39" t="s">
        <v>67</v>
      </c>
      <c r="D17" s="40" t="s">
        <v>53</v>
      </c>
      <c r="E17" s="39">
        <v>1</v>
      </c>
      <c r="F17" s="39" t="s">
        <v>54</v>
      </c>
      <c r="G17" s="39" t="s">
        <v>65</v>
      </c>
      <c r="H17" s="39" t="s">
        <v>55</v>
      </c>
      <c r="I17" s="41"/>
      <c r="J17" s="39"/>
      <c r="K17" s="41" t="s">
        <v>66</v>
      </c>
      <c r="L17" s="42"/>
    </row>
    <row r="18" spans="1:12" ht="18" customHeight="1" outlineLevel="1">
      <c r="A18" s="39">
        <v>7</v>
      </c>
      <c r="B18" s="39" t="s">
        <v>23</v>
      </c>
      <c r="C18" s="39" t="s">
        <v>68</v>
      </c>
      <c r="D18" s="40" t="s">
        <v>53</v>
      </c>
      <c r="E18" s="39">
        <v>1</v>
      </c>
      <c r="F18" s="39" t="s">
        <v>54</v>
      </c>
      <c r="G18" s="39" t="s">
        <v>65</v>
      </c>
      <c r="H18" s="39" t="s">
        <v>55</v>
      </c>
      <c r="I18" s="41"/>
      <c r="J18" s="39"/>
      <c r="K18" s="41" t="s">
        <v>66</v>
      </c>
      <c r="L18" s="42"/>
    </row>
    <row r="19" spans="1:12" ht="18" customHeight="1" outlineLevel="1">
      <c r="A19" s="39">
        <v>8</v>
      </c>
      <c r="B19" s="39" t="s">
        <v>23</v>
      </c>
      <c r="C19" s="39" t="s">
        <v>69</v>
      </c>
      <c r="D19" s="40" t="s">
        <v>53</v>
      </c>
      <c r="E19" s="39">
        <v>1</v>
      </c>
      <c r="F19" s="39" t="s">
        <v>54</v>
      </c>
      <c r="G19" s="39" t="s">
        <v>65</v>
      </c>
      <c r="H19" s="39" t="s">
        <v>55</v>
      </c>
      <c r="I19" s="41"/>
      <c r="J19" s="39"/>
      <c r="K19" s="41" t="s">
        <v>66</v>
      </c>
      <c r="L19" s="42"/>
    </row>
    <row r="20" spans="1:12" ht="18.95" customHeight="1">
      <c r="A20" s="45"/>
      <c r="B20" s="54" t="s">
        <v>70</v>
      </c>
      <c r="C20" s="67"/>
      <c r="D20" s="67"/>
      <c r="E20" s="67"/>
      <c r="F20" s="67"/>
      <c r="G20" s="67"/>
      <c r="H20" s="67"/>
      <c r="I20" s="67"/>
      <c r="J20" s="67"/>
      <c r="K20" s="67"/>
      <c r="L20" s="67"/>
    </row>
    <row r="21" spans="1:12" ht="18" customHeight="1" outlineLevel="1">
      <c r="A21" s="39">
        <v>9</v>
      </c>
      <c r="B21" s="39" t="s">
        <v>25</v>
      </c>
      <c r="C21" s="39" t="s">
        <v>71</v>
      </c>
      <c r="D21" s="40" t="s">
        <v>72</v>
      </c>
      <c r="E21" s="39">
        <v>1</v>
      </c>
      <c r="F21" s="39" t="s">
        <v>54</v>
      </c>
      <c r="G21" s="39" t="s">
        <v>16</v>
      </c>
      <c r="H21" s="39" t="s">
        <v>55</v>
      </c>
      <c r="I21" s="41"/>
      <c r="J21" s="39"/>
      <c r="K21" s="41" t="s">
        <v>73</v>
      </c>
      <c r="L21" s="42"/>
    </row>
    <row r="22" spans="1:12" ht="18" customHeight="1" outlineLevel="1">
      <c r="A22" s="39">
        <v>10</v>
      </c>
      <c r="B22" s="39" t="s">
        <v>25</v>
      </c>
      <c r="C22" s="39" t="s">
        <v>74</v>
      </c>
      <c r="D22" s="40" t="s">
        <v>53</v>
      </c>
      <c r="E22" s="39">
        <v>1</v>
      </c>
      <c r="F22" s="39" t="s">
        <v>54</v>
      </c>
      <c r="G22" s="39" t="s">
        <v>16</v>
      </c>
      <c r="H22" s="39" t="s">
        <v>55</v>
      </c>
      <c r="I22" s="41"/>
      <c r="J22" s="39"/>
      <c r="K22" s="41" t="s">
        <v>73</v>
      </c>
      <c r="L22" s="42"/>
    </row>
    <row r="23" spans="1:12" ht="18.75" customHeight="1" outlineLevel="1">
      <c r="A23" s="39">
        <v>11</v>
      </c>
      <c r="B23" s="39" t="s">
        <v>25</v>
      </c>
      <c r="C23" s="39" t="s">
        <v>75</v>
      </c>
      <c r="D23" s="40" t="s">
        <v>76</v>
      </c>
      <c r="E23" s="39">
        <v>1</v>
      </c>
      <c r="F23" s="39" t="s">
        <v>60</v>
      </c>
      <c r="G23" s="39" t="s">
        <v>17</v>
      </c>
      <c r="H23" s="39" t="s">
        <v>55</v>
      </c>
      <c r="I23" s="41"/>
      <c r="J23" s="39"/>
      <c r="K23" s="41" t="s">
        <v>77</v>
      </c>
      <c r="L23" s="42"/>
    </row>
    <row r="24" spans="1:12" ht="18" customHeight="1" outlineLevel="1">
      <c r="A24" s="39">
        <v>12</v>
      </c>
      <c r="B24" s="39" t="s">
        <v>25</v>
      </c>
      <c r="C24" s="39" t="s">
        <v>78</v>
      </c>
      <c r="D24" s="40" t="s">
        <v>76</v>
      </c>
      <c r="E24" s="39">
        <v>1</v>
      </c>
      <c r="F24" s="39" t="s">
        <v>60</v>
      </c>
      <c r="G24" s="39" t="s">
        <v>17</v>
      </c>
      <c r="H24" s="39" t="s">
        <v>55</v>
      </c>
      <c r="I24" s="41"/>
      <c r="J24" s="39"/>
      <c r="K24" s="41" t="s">
        <v>77</v>
      </c>
      <c r="L24" s="42"/>
    </row>
    <row r="25" spans="1:12" ht="18" customHeight="1" outlineLevel="1">
      <c r="A25" s="39">
        <v>13</v>
      </c>
      <c r="B25" s="39" t="s">
        <v>25</v>
      </c>
      <c r="C25" s="39" t="s">
        <v>79</v>
      </c>
      <c r="D25" s="40" t="s">
        <v>80</v>
      </c>
      <c r="E25" s="39">
        <v>1</v>
      </c>
      <c r="F25" s="39" t="s">
        <v>54</v>
      </c>
      <c r="G25" s="39" t="s">
        <v>16</v>
      </c>
      <c r="H25" s="39" t="s">
        <v>55</v>
      </c>
      <c r="I25" s="41"/>
      <c r="J25" s="39"/>
      <c r="K25" s="41" t="s">
        <v>73</v>
      </c>
      <c r="L25" s="42"/>
    </row>
    <row r="26" spans="1:12" ht="18" customHeight="1" outlineLevel="1">
      <c r="A26" s="39">
        <v>14</v>
      </c>
      <c r="B26" s="39" t="s">
        <v>25</v>
      </c>
      <c r="C26" s="39" t="s">
        <v>81</v>
      </c>
      <c r="D26" s="40" t="s">
        <v>72</v>
      </c>
      <c r="E26" s="39">
        <v>1</v>
      </c>
      <c r="F26" s="39" t="s">
        <v>54</v>
      </c>
      <c r="G26" s="39" t="s">
        <v>16</v>
      </c>
      <c r="H26" s="39" t="s">
        <v>55</v>
      </c>
      <c r="I26" s="41"/>
      <c r="J26" s="39"/>
      <c r="K26" s="41" t="s">
        <v>73</v>
      </c>
      <c r="L26" s="42"/>
    </row>
    <row r="27" spans="1:12" ht="18" customHeight="1" outlineLevel="1">
      <c r="A27" s="39">
        <v>15</v>
      </c>
      <c r="B27" s="39" t="s">
        <v>25</v>
      </c>
      <c r="C27" s="39" t="s">
        <v>82</v>
      </c>
      <c r="D27" s="40" t="s">
        <v>53</v>
      </c>
      <c r="E27" s="39">
        <v>1</v>
      </c>
      <c r="F27" s="39" t="s">
        <v>54</v>
      </c>
      <c r="G27" s="39" t="s">
        <v>16</v>
      </c>
      <c r="H27" s="39" t="s">
        <v>55</v>
      </c>
      <c r="I27" s="41"/>
      <c r="J27" s="39"/>
      <c r="K27" s="41" t="s">
        <v>73</v>
      </c>
      <c r="L27" s="42"/>
    </row>
    <row r="28" spans="1:12" ht="18" customHeight="1" outlineLevel="1">
      <c r="A28" s="39">
        <v>16</v>
      </c>
      <c r="B28" s="39" t="s">
        <v>25</v>
      </c>
      <c r="C28" s="39" t="s">
        <v>83</v>
      </c>
      <c r="D28" s="40" t="s">
        <v>53</v>
      </c>
      <c r="E28" s="39">
        <v>1</v>
      </c>
      <c r="F28" s="39" t="s">
        <v>54</v>
      </c>
      <c r="G28" s="39" t="s">
        <v>16</v>
      </c>
      <c r="H28" s="39" t="s">
        <v>55</v>
      </c>
      <c r="I28" s="41"/>
      <c r="J28" s="39"/>
      <c r="K28" s="41" t="s">
        <v>73</v>
      </c>
      <c r="L28" s="42"/>
    </row>
    <row r="29" spans="1:12" ht="18" customHeight="1" outlineLevel="1">
      <c r="A29" s="39">
        <v>17</v>
      </c>
      <c r="B29" s="39" t="s">
        <v>25</v>
      </c>
      <c r="C29" s="39" t="s">
        <v>84</v>
      </c>
      <c r="D29" s="40" t="s">
        <v>85</v>
      </c>
      <c r="E29" s="39">
        <v>1</v>
      </c>
      <c r="F29" s="39" t="s">
        <v>54</v>
      </c>
      <c r="G29" s="39" t="s">
        <v>16</v>
      </c>
      <c r="H29" s="39" t="s">
        <v>55</v>
      </c>
      <c r="I29" s="41"/>
      <c r="J29" s="39"/>
      <c r="K29" s="41" t="s">
        <v>73</v>
      </c>
      <c r="L29" s="42"/>
    </row>
    <row r="30" spans="1:12" ht="18" customHeight="1" outlineLevel="1">
      <c r="A30" s="39">
        <v>18</v>
      </c>
      <c r="B30" s="39" t="s">
        <v>25</v>
      </c>
      <c r="C30" s="39" t="s">
        <v>86</v>
      </c>
      <c r="D30" s="40" t="s">
        <v>87</v>
      </c>
      <c r="E30" s="39">
        <v>1</v>
      </c>
      <c r="F30" s="39" t="s">
        <v>54</v>
      </c>
      <c r="G30" s="39" t="s">
        <v>16</v>
      </c>
      <c r="H30" s="39" t="s">
        <v>55</v>
      </c>
      <c r="I30" s="41"/>
      <c r="J30" s="39"/>
      <c r="K30" s="41" t="s">
        <v>73</v>
      </c>
      <c r="L30" s="42"/>
    </row>
    <row r="31" spans="1:12" ht="18" customHeight="1" outlineLevel="1">
      <c r="A31" s="39">
        <v>19</v>
      </c>
      <c r="B31" s="39" t="s">
        <v>25</v>
      </c>
      <c r="C31" s="39" t="s">
        <v>88</v>
      </c>
      <c r="D31" s="40" t="s">
        <v>53</v>
      </c>
      <c r="E31" s="39">
        <v>1</v>
      </c>
      <c r="F31" s="39" t="s">
        <v>54</v>
      </c>
      <c r="G31" s="39" t="s">
        <v>16</v>
      </c>
      <c r="H31" s="39" t="s">
        <v>55</v>
      </c>
      <c r="I31" s="41"/>
      <c r="J31" s="39"/>
      <c r="K31" s="41" t="s">
        <v>73</v>
      </c>
      <c r="L31" s="42"/>
    </row>
    <row r="32" spans="1:12" ht="18" customHeight="1" outlineLevel="1">
      <c r="A32" s="39">
        <v>20</v>
      </c>
      <c r="B32" s="39" t="s">
        <v>25</v>
      </c>
      <c r="C32" s="39" t="s">
        <v>89</v>
      </c>
      <c r="D32" s="40" t="s">
        <v>85</v>
      </c>
      <c r="E32" s="39">
        <v>1</v>
      </c>
      <c r="F32" s="39" t="s">
        <v>54</v>
      </c>
      <c r="G32" s="39" t="s">
        <v>17</v>
      </c>
      <c r="H32" s="39" t="s">
        <v>55</v>
      </c>
      <c r="I32" s="41"/>
      <c r="J32" s="39"/>
      <c r="K32" s="41" t="s">
        <v>90</v>
      </c>
      <c r="L32" s="42"/>
    </row>
    <row r="33" spans="1:12" ht="18" customHeight="1" outlineLevel="1">
      <c r="A33" s="39">
        <v>21</v>
      </c>
      <c r="B33" s="39" t="s">
        <v>25</v>
      </c>
      <c r="C33" s="39" t="s">
        <v>91</v>
      </c>
      <c r="D33" s="40" t="s">
        <v>87</v>
      </c>
      <c r="E33" s="39">
        <v>1</v>
      </c>
      <c r="F33" s="39" t="s">
        <v>54</v>
      </c>
      <c r="G33" s="39" t="s">
        <v>16</v>
      </c>
      <c r="H33" s="39" t="s">
        <v>55</v>
      </c>
      <c r="I33" s="41"/>
      <c r="J33" s="39"/>
      <c r="K33" s="41" t="s">
        <v>73</v>
      </c>
      <c r="L33" s="42"/>
    </row>
    <row r="34" spans="1:12" ht="18" customHeight="1" outlineLevel="1">
      <c r="A34" s="39">
        <v>22</v>
      </c>
      <c r="B34" s="39" t="s">
        <v>25</v>
      </c>
      <c r="C34" s="39" t="s">
        <v>92</v>
      </c>
      <c r="D34" s="40" t="s">
        <v>53</v>
      </c>
      <c r="E34" s="39">
        <v>1</v>
      </c>
      <c r="F34" s="39" t="s">
        <v>54</v>
      </c>
      <c r="G34" s="39" t="s">
        <v>16</v>
      </c>
      <c r="H34" s="39" t="s">
        <v>55</v>
      </c>
      <c r="I34" s="41"/>
      <c r="J34" s="39"/>
      <c r="K34" s="41" t="s">
        <v>73</v>
      </c>
      <c r="L34" s="42"/>
    </row>
    <row r="35" spans="1:12" ht="18" customHeight="1" outlineLevel="1">
      <c r="A35" s="39">
        <v>23</v>
      </c>
      <c r="B35" s="39" t="s">
        <v>25</v>
      </c>
      <c r="C35" s="39" t="s">
        <v>93</v>
      </c>
      <c r="D35" s="40" t="s">
        <v>85</v>
      </c>
      <c r="E35" s="39">
        <v>1</v>
      </c>
      <c r="F35" s="39" t="s">
        <v>54</v>
      </c>
      <c r="G35" s="39" t="s">
        <v>16</v>
      </c>
      <c r="H35" s="39" t="s">
        <v>55</v>
      </c>
      <c r="I35" s="41"/>
      <c r="J35" s="39"/>
      <c r="K35" s="41" t="s">
        <v>73</v>
      </c>
      <c r="L35" s="42"/>
    </row>
    <row r="36" spans="1:12" ht="18" customHeight="1" outlineLevel="1">
      <c r="A36" s="39">
        <v>24</v>
      </c>
      <c r="B36" s="39" t="s">
        <v>25</v>
      </c>
      <c r="C36" s="39" t="s">
        <v>94</v>
      </c>
      <c r="D36" s="40" t="s">
        <v>53</v>
      </c>
      <c r="E36" s="39">
        <v>1</v>
      </c>
      <c r="F36" s="39" t="s">
        <v>54</v>
      </c>
      <c r="G36" s="39" t="s">
        <v>16</v>
      </c>
      <c r="H36" s="39" t="s">
        <v>55</v>
      </c>
      <c r="I36" s="41"/>
      <c r="J36" s="39"/>
      <c r="K36" s="41" t="s">
        <v>73</v>
      </c>
      <c r="L36" s="42"/>
    </row>
    <row r="37" spans="1:12" ht="18" customHeight="1" outlineLevel="1">
      <c r="A37" s="39">
        <v>25</v>
      </c>
      <c r="B37" s="39" t="s">
        <v>25</v>
      </c>
      <c r="C37" s="39" t="s">
        <v>95</v>
      </c>
      <c r="D37" s="40" t="s">
        <v>53</v>
      </c>
      <c r="E37" s="39">
        <v>1</v>
      </c>
      <c r="F37" s="39" t="s">
        <v>54</v>
      </c>
      <c r="G37" s="39" t="s">
        <v>16</v>
      </c>
      <c r="H37" s="39" t="s">
        <v>55</v>
      </c>
      <c r="I37" s="41"/>
      <c r="J37" s="39"/>
      <c r="K37" s="41" t="s">
        <v>73</v>
      </c>
      <c r="L37" s="42"/>
    </row>
    <row r="38" spans="1:12" ht="18" customHeight="1" outlineLevel="1">
      <c r="A38" s="39">
        <v>26</v>
      </c>
      <c r="B38" s="39" t="s">
        <v>25</v>
      </c>
      <c r="C38" s="39" t="s">
        <v>96</v>
      </c>
      <c r="D38" s="40" t="s">
        <v>85</v>
      </c>
      <c r="E38" s="39">
        <v>1</v>
      </c>
      <c r="F38" s="39" t="s">
        <v>54</v>
      </c>
      <c r="G38" s="39" t="s">
        <v>16</v>
      </c>
      <c r="H38" s="39" t="s">
        <v>55</v>
      </c>
      <c r="I38" s="41"/>
      <c r="J38" s="39"/>
      <c r="K38" s="41" t="s">
        <v>73</v>
      </c>
      <c r="L38" s="42"/>
    </row>
    <row r="39" spans="1:12" ht="18" customHeight="1" outlineLevel="1">
      <c r="A39" s="39">
        <v>27</v>
      </c>
      <c r="B39" s="39" t="s">
        <v>25</v>
      </c>
      <c r="C39" s="39" t="s">
        <v>97</v>
      </c>
      <c r="D39" s="40" t="s">
        <v>53</v>
      </c>
      <c r="E39" s="39">
        <v>1</v>
      </c>
      <c r="F39" s="39" t="s">
        <v>54</v>
      </c>
      <c r="G39" s="39" t="s">
        <v>16</v>
      </c>
      <c r="H39" s="39" t="s">
        <v>55</v>
      </c>
      <c r="I39" s="41"/>
      <c r="J39" s="39"/>
      <c r="K39" s="41" t="s">
        <v>73</v>
      </c>
      <c r="L39" s="42"/>
    </row>
    <row r="40" spans="1:12" ht="18" customHeight="1" outlineLevel="1" collapsed="1">
      <c r="A40" s="39">
        <v>28</v>
      </c>
      <c r="B40" s="39" t="s">
        <v>25</v>
      </c>
      <c r="C40" s="39" t="s">
        <v>98</v>
      </c>
      <c r="D40" s="40" t="s">
        <v>85</v>
      </c>
      <c r="E40" s="39">
        <v>1</v>
      </c>
      <c r="F40" s="39" t="s">
        <v>54</v>
      </c>
      <c r="G40" s="39" t="s">
        <v>16</v>
      </c>
      <c r="H40" s="39" t="s">
        <v>55</v>
      </c>
      <c r="I40" s="41"/>
      <c r="J40" s="39"/>
      <c r="K40" s="41" t="s">
        <v>73</v>
      </c>
      <c r="L40" s="42"/>
    </row>
    <row r="41" spans="1:12" ht="18.95" customHeight="1">
      <c r="A41" s="46"/>
      <c r="B41" s="54" t="s">
        <v>99</v>
      </c>
      <c r="C41" s="67"/>
      <c r="D41" s="67"/>
      <c r="E41" s="67"/>
      <c r="F41" s="67"/>
      <c r="G41" s="67"/>
      <c r="H41" s="67"/>
      <c r="I41" s="67"/>
      <c r="J41" s="67"/>
      <c r="K41" s="67"/>
      <c r="L41" s="67"/>
    </row>
    <row r="42" spans="1:12" ht="18" customHeight="1" outlineLevel="1">
      <c r="A42" s="39">
        <v>29</v>
      </c>
      <c r="B42" s="39" t="s">
        <v>28</v>
      </c>
      <c r="C42" s="39" t="s">
        <v>100</v>
      </c>
      <c r="D42" s="40" t="s">
        <v>72</v>
      </c>
      <c r="E42" s="39">
        <v>1</v>
      </c>
      <c r="F42" s="39" t="s">
        <v>54</v>
      </c>
      <c r="G42" s="39" t="s">
        <v>65</v>
      </c>
      <c r="H42" s="39" t="s">
        <v>55</v>
      </c>
      <c r="I42" s="41" t="s">
        <v>101</v>
      </c>
      <c r="J42" s="39"/>
      <c r="K42" s="41" t="s">
        <v>102</v>
      </c>
      <c r="L42" s="42"/>
    </row>
    <row r="43" spans="1:12" ht="18" customHeight="1" outlineLevel="1">
      <c r="A43" s="39">
        <v>30</v>
      </c>
      <c r="B43" s="39" t="s">
        <v>28</v>
      </c>
      <c r="C43" s="39" t="s">
        <v>103</v>
      </c>
      <c r="D43" s="40" t="s">
        <v>53</v>
      </c>
      <c r="E43" s="39">
        <v>1</v>
      </c>
      <c r="F43" s="39" t="s">
        <v>54</v>
      </c>
      <c r="G43" s="39" t="s">
        <v>65</v>
      </c>
      <c r="H43" s="39" t="s">
        <v>55</v>
      </c>
      <c r="I43" s="41" t="s">
        <v>101</v>
      </c>
      <c r="J43" s="39"/>
      <c r="K43" s="41" t="s">
        <v>102</v>
      </c>
      <c r="L43" s="42"/>
    </row>
    <row r="44" spans="1:12" ht="18" customHeight="1" outlineLevel="1">
      <c r="A44" s="39">
        <v>31</v>
      </c>
      <c r="B44" s="39" t="s">
        <v>28</v>
      </c>
      <c r="C44" s="39" t="s">
        <v>104</v>
      </c>
      <c r="D44" s="40" t="s">
        <v>105</v>
      </c>
      <c r="E44" s="39">
        <v>1</v>
      </c>
      <c r="F44" s="39" t="s">
        <v>54</v>
      </c>
      <c r="G44" s="39" t="s">
        <v>65</v>
      </c>
      <c r="H44" s="39" t="s">
        <v>55</v>
      </c>
      <c r="I44" s="41" t="s">
        <v>101</v>
      </c>
      <c r="J44" s="39"/>
      <c r="K44" s="41" t="s">
        <v>102</v>
      </c>
      <c r="L44" s="42"/>
    </row>
    <row r="45" spans="1:12" ht="18" customHeight="1" outlineLevel="1">
      <c r="A45" s="39">
        <v>32</v>
      </c>
      <c r="B45" s="39" t="s">
        <v>28</v>
      </c>
      <c r="C45" s="39" t="s">
        <v>106</v>
      </c>
      <c r="D45" s="40" t="s">
        <v>76</v>
      </c>
      <c r="E45" s="39">
        <v>1</v>
      </c>
      <c r="F45" s="39" t="s">
        <v>60</v>
      </c>
      <c r="G45" s="39" t="s">
        <v>65</v>
      </c>
      <c r="H45" s="39" t="s">
        <v>55</v>
      </c>
      <c r="I45" s="41" t="s">
        <v>101</v>
      </c>
      <c r="J45" s="39"/>
      <c r="K45" s="41" t="s">
        <v>102</v>
      </c>
      <c r="L45" s="42"/>
    </row>
    <row r="46" spans="1:12" ht="18" customHeight="1" outlineLevel="1">
      <c r="A46" s="39">
        <v>33</v>
      </c>
      <c r="B46" s="39" t="s">
        <v>28</v>
      </c>
      <c r="C46" s="39" t="s">
        <v>107</v>
      </c>
      <c r="D46" s="40" t="s">
        <v>72</v>
      </c>
      <c r="E46" s="39">
        <v>1</v>
      </c>
      <c r="F46" s="39" t="s">
        <v>54</v>
      </c>
      <c r="G46" s="39" t="s">
        <v>65</v>
      </c>
      <c r="H46" s="39" t="s">
        <v>55</v>
      </c>
      <c r="I46" s="41" t="s">
        <v>101</v>
      </c>
      <c r="J46" s="39"/>
      <c r="K46" s="41" t="s">
        <v>102</v>
      </c>
      <c r="L46" s="42"/>
    </row>
    <row r="47" spans="1:12" ht="18" customHeight="1" outlineLevel="1">
      <c r="A47" s="39">
        <v>34</v>
      </c>
      <c r="B47" s="39" t="s">
        <v>28</v>
      </c>
      <c r="C47" s="39" t="s">
        <v>108</v>
      </c>
      <c r="D47" s="40" t="s">
        <v>53</v>
      </c>
      <c r="E47" s="39">
        <v>1</v>
      </c>
      <c r="F47" s="39" t="s">
        <v>54</v>
      </c>
      <c r="G47" s="39" t="s">
        <v>65</v>
      </c>
      <c r="H47" s="39" t="s">
        <v>55</v>
      </c>
      <c r="I47" s="41" t="s">
        <v>101</v>
      </c>
      <c r="J47" s="39"/>
      <c r="K47" s="41" t="s">
        <v>102</v>
      </c>
      <c r="L47" s="42"/>
    </row>
    <row r="48" spans="1:12" ht="18" customHeight="1" outlineLevel="1">
      <c r="A48" s="39">
        <v>35</v>
      </c>
      <c r="B48" s="39" t="s">
        <v>28</v>
      </c>
      <c r="C48" s="39" t="s">
        <v>109</v>
      </c>
      <c r="D48" s="40" t="s">
        <v>76</v>
      </c>
      <c r="E48" s="39">
        <v>1</v>
      </c>
      <c r="F48" s="39" t="s">
        <v>60</v>
      </c>
      <c r="G48" s="39" t="s">
        <v>65</v>
      </c>
      <c r="H48" s="39" t="s">
        <v>55</v>
      </c>
      <c r="I48" s="41" t="s">
        <v>101</v>
      </c>
      <c r="J48" s="39"/>
      <c r="K48" s="41" t="s">
        <v>102</v>
      </c>
      <c r="L48" s="42"/>
    </row>
    <row r="49" spans="1:13" ht="18" customHeight="1" outlineLevel="1">
      <c r="A49" s="39">
        <v>36</v>
      </c>
      <c r="B49" s="39" t="s">
        <v>28</v>
      </c>
      <c r="C49" s="39" t="s">
        <v>110</v>
      </c>
      <c r="D49" s="40" t="s">
        <v>72</v>
      </c>
      <c r="E49" s="39">
        <v>1</v>
      </c>
      <c r="F49" s="39" t="s">
        <v>54</v>
      </c>
      <c r="G49" s="39" t="s">
        <v>65</v>
      </c>
      <c r="H49" s="39" t="s">
        <v>55</v>
      </c>
      <c r="I49" s="41" t="s">
        <v>101</v>
      </c>
      <c r="J49" s="39"/>
      <c r="K49" s="41" t="s">
        <v>102</v>
      </c>
      <c r="L49" s="42"/>
      <c r="M49" s="50"/>
    </row>
    <row r="50" spans="1:13" ht="18" customHeight="1" outlineLevel="1">
      <c r="A50" s="39">
        <v>37</v>
      </c>
      <c r="B50" s="39" t="s">
        <v>28</v>
      </c>
      <c r="C50" s="39" t="s">
        <v>111</v>
      </c>
      <c r="D50" s="40" t="s">
        <v>53</v>
      </c>
      <c r="E50" s="39">
        <v>1</v>
      </c>
      <c r="F50" s="39" t="s">
        <v>54</v>
      </c>
      <c r="G50" s="39" t="s">
        <v>65</v>
      </c>
      <c r="H50" s="39" t="s">
        <v>55</v>
      </c>
      <c r="I50" s="41" t="s">
        <v>101</v>
      </c>
      <c r="J50" s="39"/>
      <c r="K50" s="41" t="s">
        <v>102</v>
      </c>
      <c r="L50" s="42"/>
      <c r="M50" s="50"/>
    </row>
    <row r="51" spans="1:13" ht="18" customHeight="1" outlineLevel="1">
      <c r="A51" s="39">
        <v>38</v>
      </c>
      <c r="B51" s="39" t="s">
        <v>28</v>
      </c>
      <c r="C51" s="39" t="s">
        <v>112</v>
      </c>
      <c r="D51" s="40" t="s">
        <v>76</v>
      </c>
      <c r="E51" s="39">
        <v>1</v>
      </c>
      <c r="F51" s="39" t="s">
        <v>60</v>
      </c>
      <c r="G51" s="39" t="s">
        <v>65</v>
      </c>
      <c r="H51" s="39" t="s">
        <v>55</v>
      </c>
      <c r="I51" s="41" t="s">
        <v>101</v>
      </c>
      <c r="J51" s="39"/>
      <c r="K51" s="41" t="s">
        <v>102</v>
      </c>
      <c r="L51" s="42"/>
      <c r="M51" s="50"/>
    </row>
    <row r="52" spans="1:13" ht="18" customHeight="1" outlineLevel="1">
      <c r="A52" s="39">
        <v>39</v>
      </c>
      <c r="B52" s="39" t="s">
        <v>28</v>
      </c>
      <c r="C52" s="39" t="s">
        <v>113</v>
      </c>
      <c r="D52" s="40" t="s">
        <v>72</v>
      </c>
      <c r="E52" s="39">
        <v>1</v>
      </c>
      <c r="F52" s="39" t="s">
        <v>54</v>
      </c>
      <c r="G52" s="39" t="s">
        <v>65</v>
      </c>
      <c r="H52" s="39" t="s">
        <v>55</v>
      </c>
      <c r="I52" s="41" t="s">
        <v>101</v>
      </c>
      <c r="J52" s="39"/>
      <c r="K52" s="41" t="s">
        <v>102</v>
      </c>
      <c r="L52" s="42"/>
      <c r="M52" s="50"/>
    </row>
    <row r="53" spans="1:13" ht="18" customHeight="1" outlineLevel="1">
      <c r="A53" s="39">
        <v>40</v>
      </c>
      <c r="B53" s="39" t="s">
        <v>28</v>
      </c>
      <c r="C53" s="39" t="s">
        <v>114</v>
      </c>
      <c r="D53" s="40" t="s">
        <v>53</v>
      </c>
      <c r="E53" s="39">
        <v>1</v>
      </c>
      <c r="F53" s="39" t="s">
        <v>54</v>
      </c>
      <c r="G53" s="39" t="s">
        <v>65</v>
      </c>
      <c r="H53" s="39" t="s">
        <v>55</v>
      </c>
      <c r="I53" s="41" t="s">
        <v>101</v>
      </c>
      <c r="J53" s="39"/>
      <c r="K53" s="41" t="s">
        <v>102</v>
      </c>
      <c r="L53" s="42"/>
      <c r="M53" s="50"/>
    </row>
    <row r="54" spans="1:13" ht="18" customHeight="1" outlineLevel="1">
      <c r="A54" s="39">
        <v>41</v>
      </c>
      <c r="B54" s="39" t="s">
        <v>28</v>
      </c>
      <c r="C54" s="39" t="s">
        <v>115</v>
      </c>
      <c r="D54" s="40" t="s">
        <v>72</v>
      </c>
      <c r="E54" s="39">
        <v>1</v>
      </c>
      <c r="F54" s="39" t="s">
        <v>54</v>
      </c>
      <c r="G54" s="39" t="s">
        <v>65</v>
      </c>
      <c r="H54" s="39" t="s">
        <v>55</v>
      </c>
      <c r="I54" s="41" t="s">
        <v>101</v>
      </c>
      <c r="J54" s="39"/>
      <c r="K54" s="41" t="s">
        <v>102</v>
      </c>
      <c r="L54" s="42"/>
      <c r="M54" s="50"/>
    </row>
    <row r="55" spans="1:13" ht="18" customHeight="1" outlineLevel="1">
      <c r="A55" s="39">
        <v>42</v>
      </c>
      <c r="B55" s="39" t="s">
        <v>28</v>
      </c>
      <c r="C55" s="39" t="s">
        <v>116</v>
      </c>
      <c r="D55" s="40" t="s">
        <v>53</v>
      </c>
      <c r="E55" s="39">
        <v>1</v>
      </c>
      <c r="F55" s="39" t="s">
        <v>54</v>
      </c>
      <c r="G55" s="39" t="s">
        <v>65</v>
      </c>
      <c r="H55" s="39" t="s">
        <v>55</v>
      </c>
      <c r="I55" s="41" t="s">
        <v>101</v>
      </c>
      <c r="J55" s="39"/>
      <c r="K55" s="41" t="s">
        <v>102</v>
      </c>
      <c r="L55" s="42"/>
      <c r="M55" s="50"/>
    </row>
    <row r="56" spans="1:13" ht="18" customHeight="1" outlineLevel="1">
      <c r="A56" s="39">
        <v>43</v>
      </c>
      <c r="B56" s="39" t="s">
        <v>28</v>
      </c>
      <c r="C56" s="39" t="s">
        <v>117</v>
      </c>
      <c r="D56" s="40" t="s">
        <v>72</v>
      </c>
      <c r="E56" s="39">
        <v>1</v>
      </c>
      <c r="F56" s="39" t="s">
        <v>54</v>
      </c>
      <c r="G56" s="39" t="s">
        <v>65</v>
      </c>
      <c r="H56" s="39" t="s">
        <v>55</v>
      </c>
      <c r="I56" s="41" t="s">
        <v>101</v>
      </c>
      <c r="J56" s="39"/>
      <c r="K56" s="41" t="s">
        <v>102</v>
      </c>
      <c r="L56" s="42"/>
      <c r="M56" s="50"/>
    </row>
    <row r="57" spans="1:13" ht="18" customHeight="1" outlineLevel="1">
      <c r="A57" s="39">
        <v>44</v>
      </c>
      <c r="B57" s="39" t="s">
        <v>28</v>
      </c>
      <c r="C57" s="39" t="s">
        <v>118</v>
      </c>
      <c r="D57" s="40" t="s">
        <v>53</v>
      </c>
      <c r="E57" s="39">
        <v>1</v>
      </c>
      <c r="F57" s="39" t="s">
        <v>54</v>
      </c>
      <c r="G57" s="39" t="s">
        <v>65</v>
      </c>
      <c r="H57" s="39" t="s">
        <v>55</v>
      </c>
      <c r="I57" s="41" t="s">
        <v>101</v>
      </c>
      <c r="J57" s="39"/>
      <c r="K57" s="41" t="s">
        <v>102</v>
      </c>
      <c r="L57" s="42"/>
      <c r="M57" s="50"/>
    </row>
    <row r="58" spans="1:13" ht="18" customHeight="1" outlineLevel="1">
      <c r="A58" s="39">
        <v>45</v>
      </c>
      <c r="B58" s="39" t="s">
        <v>28</v>
      </c>
      <c r="C58" s="39" t="s">
        <v>119</v>
      </c>
      <c r="D58" s="40" t="s">
        <v>53</v>
      </c>
      <c r="E58" s="39">
        <v>1</v>
      </c>
      <c r="F58" s="39" t="s">
        <v>54</v>
      </c>
      <c r="G58" s="39" t="s">
        <v>65</v>
      </c>
      <c r="H58" s="39" t="s">
        <v>55</v>
      </c>
      <c r="I58" s="41"/>
      <c r="J58" s="39"/>
      <c r="K58" s="41" t="s">
        <v>102</v>
      </c>
      <c r="L58" s="42"/>
      <c r="M58" s="50"/>
    </row>
    <row r="59" spans="1:13" ht="18" customHeight="1" outlineLevel="1">
      <c r="A59" s="39">
        <v>46</v>
      </c>
      <c r="B59" s="39" t="s">
        <v>28</v>
      </c>
      <c r="C59" s="39" t="s">
        <v>120</v>
      </c>
      <c r="D59" s="40" t="s">
        <v>53</v>
      </c>
      <c r="E59" s="39">
        <v>1</v>
      </c>
      <c r="F59" s="39" t="s">
        <v>54</v>
      </c>
      <c r="G59" s="39" t="s">
        <v>65</v>
      </c>
      <c r="H59" s="39" t="s">
        <v>55</v>
      </c>
      <c r="I59" s="41"/>
      <c r="J59" s="39"/>
      <c r="K59" s="41" t="s">
        <v>102</v>
      </c>
      <c r="L59" s="42"/>
      <c r="M59" s="50"/>
    </row>
    <row r="60" spans="1:13" ht="18" customHeight="1" outlineLevel="1">
      <c r="A60" s="39">
        <v>47</v>
      </c>
      <c r="B60" s="39" t="s">
        <v>28</v>
      </c>
      <c r="C60" s="39" t="s">
        <v>121</v>
      </c>
      <c r="D60" s="40" t="s">
        <v>53</v>
      </c>
      <c r="E60" s="39">
        <v>1</v>
      </c>
      <c r="F60" s="39" t="s">
        <v>54</v>
      </c>
      <c r="G60" s="39" t="s">
        <v>65</v>
      </c>
      <c r="H60" s="39" t="s">
        <v>55</v>
      </c>
      <c r="I60" s="41"/>
      <c r="J60" s="39"/>
      <c r="K60" s="41" t="s">
        <v>102</v>
      </c>
      <c r="L60" s="42"/>
      <c r="M60" s="50"/>
    </row>
    <row r="61" spans="1:13">
      <c r="A61" s="42"/>
      <c r="B61" s="42"/>
      <c r="C61" s="42"/>
      <c r="D61" s="42"/>
      <c r="E61" s="42"/>
      <c r="F61" s="42"/>
      <c r="G61" s="42"/>
      <c r="H61" s="42"/>
      <c r="I61" s="42"/>
      <c r="J61" s="42"/>
      <c r="K61" s="42"/>
      <c r="L61" s="42"/>
      <c r="M61" s="50"/>
    </row>
    <row r="62" spans="1:13">
      <c r="A62" s="42"/>
      <c r="B62" s="42"/>
      <c r="C62" s="42"/>
      <c r="D62" s="42"/>
      <c r="E62" s="42"/>
      <c r="F62" s="42"/>
      <c r="G62" s="42"/>
      <c r="H62" s="42"/>
      <c r="I62" s="42"/>
      <c r="J62" s="42"/>
      <c r="K62" s="42"/>
      <c r="L62" s="42"/>
      <c r="M62" s="50"/>
    </row>
    <row r="63" spans="1:13">
      <c r="A63" s="42"/>
      <c r="B63" s="42"/>
      <c r="C63" s="42"/>
      <c r="D63" s="42"/>
      <c r="E63" s="42"/>
      <c r="F63" s="42"/>
      <c r="G63" s="42"/>
      <c r="H63" s="42"/>
      <c r="I63" s="42"/>
      <c r="J63" s="42"/>
      <c r="K63" s="42"/>
      <c r="L63" s="42"/>
      <c r="M63" s="50"/>
    </row>
    <row r="64" spans="1:13">
      <c r="A64" s="42"/>
      <c r="B64" s="42"/>
      <c r="C64" s="42"/>
      <c r="D64" s="42"/>
      <c r="E64" s="42"/>
      <c r="F64" s="42"/>
      <c r="G64" s="42"/>
      <c r="H64" s="42"/>
      <c r="I64" s="42"/>
      <c r="J64" s="42"/>
      <c r="K64" s="42"/>
      <c r="L64" s="42"/>
      <c r="M64" s="50"/>
    </row>
    <row r="65" spans="1:12">
      <c r="A65" s="42"/>
      <c r="B65" s="42"/>
      <c r="C65" s="42"/>
      <c r="D65" s="42"/>
      <c r="E65" s="42"/>
      <c r="F65" s="42"/>
      <c r="G65" s="42"/>
      <c r="H65" s="42"/>
      <c r="I65" s="42"/>
      <c r="J65" s="42"/>
      <c r="K65" s="42"/>
      <c r="L65" s="42"/>
    </row>
    <row r="66" spans="1:12">
      <c r="A66" s="42"/>
      <c r="B66" s="42"/>
      <c r="C66" s="42"/>
      <c r="D66" s="42"/>
      <c r="E66" s="42"/>
      <c r="F66" s="42"/>
      <c r="G66" s="42"/>
      <c r="H66" s="42"/>
      <c r="I66" s="42"/>
      <c r="J66" s="42"/>
      <c r="K66" s="42"/>
      <c r="L66" s="42"/>
    </row>
    <row r="67" spans="1:12">
      <c r="A67" s="42"/>
      <c r="B67" s="42"/>
      <c r="C67" s="42"/>
      <c r="D67" s="42"/>
      <c r="E67" s="42"/>
      <c r="F67" s="42"/>
      <c r="G67" s="42"/>
      <c r="H67" s="42"/>
      <c r="I67" s="42"/>
      <c r="J67" s="42"/>
      <c r="K67" s="42"/>
      <c r="L67" s="42"/>
    </row>
    <row r="68" spans="1:12">
      <c r="A68" s="42"/>
      <c r="B68" s="42"/>
      <c r="C68" s="42"/>
      <c r="D68" s="42"/>
      <c r="E68" s="42"/>
      <c r="F68" s="42"/>
      <c r="G68" s="42"/>
      <c r="H68" s="42"/>
      <c r="I68" s="42"/>
      <c r="J68" s="42"/>
      <c r="K68" s="42"/>
      <c r="L68" s="42"/>
    </row>
    <row r="69" spans="1:12">
      <c r="A69" s="42"/>
      <c r="B69" s="42"/>
      <c r="C69" s="42"/>
      <c r="D69" s="42"/>
      <c r="E69" s="42"/>
      <c r="F69" s="42"/>
      <c r="G69" s="42"/>
      <c r="H69" s="42"/>
      <c r="I69" s="42"/>
      <c r="J69" s="42"/>
      <c r="K69" s="42"/>
      <c r="L69" s="42"/>
    </row>
    <row r="70" spans="1:12">
      <c r="A70" s="42"/>
      <c r="B70" s="42"/>
      <c r="C70" s="42"/>
      <c r="D70" s="42"/>
      <c r="E70" s="42"/>
      <c r="F70" s="42"/>
      <c r="G70" s="42"/>
      <c r="H70" s="42"/>
      <c r="I70" s="42"/>
      <c r="J70" s="42"/>
      <c r="K70" s="42"/>
      <c r="L70" s="42"/>
    </row>
    <row r="71" spans="1:12">
      <c r="A71" s="42"/>
      <c r="B71" s="42"/>
      <c r="C71" s="42"/>
      <c r="D71" s="42"/>
      <c r="E71" s="42"/>
      <c r="F71" s="42"/>
      <c r="G71" s="42"/>
      <c r="H71" s="42"/>
      <c r="I71" s="42"/>
      <c r="J71" s="42"/>
      <c r="K71" s="42"/>
      <c r="L71" s="42"/>
    </row>
    <row r="72" spans="1:12">
      <c r="A72" s="42"/>
      <c r="B72" s="42"/>
      <c r="C72" s="42"/>
      <c r="D72" s="42"/>
      <c r="E72" s="42"/>
      <c r="F72" s="42"/>
      <c r="G72" s="42"/>
      <c r="H72" s="42"/>
      <c r="I72" s="42"/>
      <c r="J72" s="42"/>
      <c r="K72" s="42"/>
      <c r="L72" s="42"/>
    </row>
    <row r="73" spans="1:12">
      <c r="A73" s="42"/>
      <c r="B73" s="42"/>
      <c r="C73" s="42"/>
      <c r="D73" s="42"/>
      <c r="E73" s="42"/>
      <c r="F73" s="42"/>
      <c r="G73" s="42"/>
      <c r="H73" s="42"/>
      <c r="I73" s="42"/>
      <c r="J73" s="42"/>
      <c r="K73" s="42"/>
      <c r="L73" s="42"/>
    </row>
    <row r="74" spans="1:12">
      <c r="A74" s="42"/>
      <c r="B74" s="42"/>
      <c r="C74" s="42"/>
      <c r="D74" s="42"/>
      <c r="E74" s="42"/>
      <c r="F74" s="42"/>
      <c r="G74" s="42"/>
      <c r="H74" s="42"/>
      <c r="I74" s="42"/>
      <c r="J74" s="42"/>
      <c r="K74" s="42"/>
      <c r="L74" s="42"/>
    </row>
    <row r="75" spans="1:12">
      <c r="A75" s="42"/>
      <c r="B75" s="42"/>
      <c r="C75" s="42"/>
      <c r="D75" s="42"/>
      <c r="E75" s="42"/>
      <c r="F75" s="42"/>
      <c r="G75" s="42"/>
      <c r="H75" s="42"/>
      <c r="I75" s="42"/>
      <c r="J75" s="42"/>
      <c r="K75" s="42"/>
      <c r="L75" s="42"/>
    </row>
    <row r="76" spans="1:12">
      <c r="A76" s="42"/>
      <c r="B76" s="42"/>
      <c r="C76" s="42"/>
      <c r="D76" s="42"/>
      <c r="E76" s="42"/>
      <c r="F76" s="42"/>
      <c r="G76" s="42"/>
      <c r="H76" s="42"/>
      <c r="I76" s="42"/>
      <c r="J76" s="42"/>
      <c r="K76" s="42"/>
      <c r="L76" s="42"/>
    </row>
    <row r="77" spans="1:12">
      <c r="A77" s="42"/>
      <c r="B77" s="42"/>
      <c r="C77" s="42"/>
      <c r="D77" s="42"/>
      <c r="E77" s="42"/>
      <c r="F77" s="42"/>
      <c r="G77" s="42"/>
      <c r="H77" s="42"/>
      <c r="I77" s="42"/>
      <c r="J77" s="42"/>
      <c r="K77" s="42"/>
      <c r="L77" s="42"/>
    </row>
    <row r="78" spans="1:12">
      <c r="A78" s="42"/>
      <c r="B78" s="42"/>
      <c r="C78" s="42"/>
      <c r="D78" s="42"/>
      <c r="E78" s="42"/>
      <c r="F78" s="42"/>
      <c r="G78" s="42"/>
      <c r="H78" s="42"/>
      <c r="I78" s="42"/>
      <c r="J78" s="42"/>
      <c r="K78" s="42"/>
      <c r="L78" s="42"/>
    </row>
    <row r="79" spans="1:12">
      <c r="A79" s="42"/>
      <c r="B79" s="42"/>
      <c r="C79" s="42"/>
      <c r="D79" s="42"/>
      <c r="E79" s="42"/>
      <c r="F79" s="42"/>
      <c r="G79" s="42"/>
      <c r="H79" s="42"/>
      <c r="I79" s="42"/>
      <c r="J79" s="42"/>
      <c r="K79" s="42"/>
      <c r="L79" s="42"/>
    </row>
    <row r="80" spans="1:12">
      <c r="A80" s="42"/>
      <c r="B80" s="42"/>
      <c r="C80" s="42"/>
      <c r="D80" s="42"/>
      <c r="E80" s="42"/>
      <c r="F80" s="42"/>
      <c r="G80" s="42"/>
      <c r="H80" s="42"/>
      <c r="I80" s="42"/>
      <c r="J80" s="42"/>
      <c r="K80" s="42"/>
      <c r="L80" s="42"/>
    </row>
    <row r="81" spans="1:12">
      <c r="A81" s="42"/>
      <c r="B81" s="42"/>
      <c r="C81" s="42"/>
      <c r="D81" s="42"/>
      <c r="E81" s="42"/>
      <c r="F81" s="42"/>
      <c r="G81" s="42"/>
      <c r="H81" s="42"/>
      <c r="I81" s="42"/>
      <c r="J81" s="42"/>
      <c r="K81" s="42"/>
      <c r="L81" s="42"/>
    </row>
    <row r="82" spans="1:12">
      <c r="A82" s="42"/>
      <c r="B82" s="42"/>
      <c r="C82" s="42"/>
      <c r="D82" s="42"/>
      <c r="E82" s="42"/>
      <c r="F82" s="42"/>
      <c r="G82" s="42"/>
      <c r="H82" s="42"/>
      <c r="I82" s="42"/>
      <c r="J82" s="42"/>
      <c r="K82" s="42"/>
      <c r="L82" s="42"/>
    </row>
    <row r="83" spans="1:12">
      <c r="A83" s="42"/>
      <c r="B83" s="42"/>
      <c r="C83" s="42"/>
      <c r="D83" s="42"/>
      <c r="E83" s="42"/>
      <c r="F83" s="42"/>
      <c r="G83" s="42"/>
      <c r="H83" s="42"/>
      <c r="I83" s="42"/>
      <c r="J83" s="42"/>
      <c r="K83" s="42"/>
      <c r="L83" s="42"/>
    </row>
    <row r="84" spans="1:12">
      <c r="A84" s="42"/>
      <c r="B84" s="42"/>
      <c r="C84" s="42"/>
      <c r="D84" s="42"/>
      <c r="E84" s="42"/>
      <c r="F84" s="42"/>
      <c r="G84" s="42"/>
      <c r="H84" s="42"/>
      <c r="I84" s="42"/>
      <c r="J84" s="42"/>
      <c r="K84" s="42"/>
      <c r="L84" s="42"/>
    </row>
    <row r="85" spans="1:12">
      <c r="A85" s="42"/>
      <c r="B85" s="42"/>
      <c r="C85" s="42"/>
      <c r="D85" s="42"/>
      <c r="E85" s="42"/>
      <c r="F85" s="42"/>
      <c r="G85" s="42"/>
      <c r="H85" s="42"/>
      <c r="I85" s="42"/>
      <c r="J85" s="42"/>
      <c r="K85" s="42"/>
      <c r="L85" s="42"/>
    </row>
    <row r="86" spans="1:12">
      <c r="A86" s="42"/>
      <c r="B86" s="42"/>
      <c r="C86" s="42"/>
      <c r="D86" s="42"/>
      <c r="E86" s="42"/>
      <c r="F86" s="42"/>
      <c r="G86" s="42"/>
      <c r="H86" s="42"/>
      <c r="I86" s="42"/>
      <c r="J86" s="42"/>
      <c r="K86" s="42"/>
      <c r="L86" s="42"/>
    </row>
    <row r="87" spans="1:12">
      <c r="A87" s="42"/>
      <c r="B87" s="42"/>
      <c r="C87" s="42"/>
      <c r="D87" s="42"/>
      <c r="E87" s="42"/>
      <c r="F87" s="42"/>
      <c r="G87" s="42"/>
      <c r="H87" s="42"/>
      <c r="I87" s="42"/>
      <c r="J87" s="42"/>
      <c r="K87" s="42"/>
      <c r="L87" s="42"/>
    </row>
    <row r="88" spans="1:12">
      <c r="A88" s="42"/>
      <c r="B88" s="42"/>
      <c r="C88" s="42"/>
      <c r="D88" s="42"/>
      <c r="E88" s="42"/>
      <c r="F88" s="42"/>
      <c r="G88" s="42"/>
      <c r="H88" s="42"/>
      <c r="I88" s="42"/>
      <c r="J88" s="42"/>
      <c r="K88" s="42"/>
      <c r="L88" s="42"/>
    </row>
    <row r="89" spans="1:12">
      <c r="A89" s="42"/>
      <c r="B89" s="42"/>
      <c r="C89" s="42"/>
      <c r="D89" s="42"/>
      <c r="E89" s="42"/>
      <c r="F89" s="42"/>
      <c r="G89" s="42"/>
      <c r="H89" s="42"/>
      <c r="I89" s="42"/>
      <c r="J89" s="42"/>
      <c r="K89" s="42"/>
      <c r="L89" s="42"/>
    </row>
    <row r="90" spans="1:12">
      <c r="A90" s="42"/>
      <c r="B90" s="42"/>
      <c r="C90" s="42"/>
      <c r="D90" s="42"/>
      <c r="E90" s="42"/>
      <c r="F90" s="42"/>
      <c r="G90" s="42"/>
      <c r="H90" s="42"/>
      <c r="I90" s="42"/>
      <c r="J90" s="42"/>
      <c r="K90" s="42"/>
      <c r="L90" s="42"/>
    </row>
    <row r="91" spans="1:12">
      <c r="A91" s="42"/>
      <c r="B91" s="42"/>
      <c r="C91" s="42"/>
      <c r="D91" s="42"/>
      <c r="E91" s="42"/>
      <c r="F91" s="42"/>
      <c r="G91" s="42"/>
      <c r="H91" s="42"/>
      <c r="I91" s="42"/>
      <c r="J91" s="42"/>
      <c r="K91" s="42"/>
      <c r="L91" s="42"/>
    </row>
    <row r="92" spans="1:12">
      <c r="A92" s="42"/>
      <c r="B92" s="42"/>
      <c r="C92" s="42"/>
      <c r="D92" s="42"/>
      <c r="E92" s="42"/>
      <c r="F92" s="42"/>
      <c r="G92" s="42"/>
      <c r="H92" s="42"/>
      <c r="I92" s="42"/>
      <c r="J92" s="42"/>
      <c r="K92" s="42"/>
      <c r="L92" s="42"/>
    </row>
    <row r="93" spans="1:12">
      <c r="A93" s="42"/>
      <c r="B93" s="42"/>
      <c r="C93" s="42"/>
      <c r="D93" s="42"/>
      <c r="E93" s="42"/>
      <c r="F93" s="42"/>
      <c r="G93" s="42"/>
      <c r="H93" s="42"/>
      <c r="I93" s="42"/>
      <c r="J93" s="42"/>
      <c r="K93" s="42"/>
      <c r="L93" s="42"/>
    </row>
    <row r="94" spans="1:12">
      <c r="A94" s="42"/>
      <c r="B94" s="42"/>
      <c r="C94" s="42"/>
      <c r="D94" s="42"/>
      <c r="E94" s="42"/>
      <c r="F94" s="42"/>
      <c r="G94" s="42"/>
      <c r="H94" s="42"/>
      <c r="I94" s="42"/>
      <c r="J94" s="42"/>
      <c r="K94" s="42"/>
      <c r="L94" s="42"/>
    </row>
    <row r="95" spans="1:12">
      <c r="A95" s="42"/>
      <c r="B95" s="42"/>
      <c r="C95" s="42"/>
      <c r="D95" s="42"/>
      <c r="E95" s="42"/>
      <c r="F95" s="42"/>
      <c r="G95" s="42"/>
      <c r="H95" s="42"/>
      <c r="I95" s="42"/>
      <c r="J95" s="42"/>
      <c r="K95" s="42"/>
      <c r="L95" s="42"/>
    </row>
    <row r="96" spans="1:12">
      <c r="A96" s="42"/>
      <c r="B96" s="42"/>
      <c r="C96" s="42"/>
      <c r="D96" s="42"/>
      <c r="E96" s="42"/>
      <c r="F96" s="42"/>
      <c r="G96" s="42"/>
      <c r="H96" s="42"/>
      <c r="I96" s="42"/>
      <c r="J96" s="42"/>
      <c r="K96" s="42"/>
      <c r="L96" s="42"/>
    </row>
    <row r="97" spans="1:12">
      <c r="A97" s="42"/>
      <c r="B97" s="42"/>
      <c r="C97" s="42"/>
      <c r="D97" s="42"/>
      <c r="E97" s="42"/>
      <c r="F97" s="42"/>
      <c r="G97" s="42"/>
      <c r="H97" s="42"/>
      <c r="I97" s="42"/>
      <c r="J97" s="42"/>
      <c r="K97" s="42"/>
      <c r="L97" s="42"/>
    </row>
    <row r="98" spans="1:12">
      <c r="A98" s="42"/>
      <c r="B98" s="42"/>
      <c r="C98" s="42"/>
      <c r="D98" s="42"/>
      <c r="E98" s="42"/>
      <c r="F98" s="42"/>
      <c r="G98" s="42"/>
      <c r="H98" s="42"/>
      <c r="I98" s="42"/>
      <c r="J98" s="42"/>
      <c r="K98" s="42"/>
      <c r="L98" s="42"/>
    </row>
    <row r="99" spans="1:12">
      <c r="A99" s="42"/>
      <c r="B99" s="42"/>
      <c r="C99" s="42"/>
      <c r="D99" s="42"/>
      <c r="E99" s="42"/>
      <c r="F99" s="42"/>
      <c r="G99" s="42"/>
      <c r="H99" s="42"/>
      <c r="I99" s="42"/>
      <c r="J99" s="42"/>
      <c r="K99" s="42"/>
      <c r="L99" s="42"/>
    </row>
    <row r="100" spans="1:12">
      <c r="A100" s="42"/>
      <c r="B100" s="42"/>
      <c r="C100" s="42"/>
      <c r="D100" s="42"/>
      <c r="E100" s="42"/>
      <c r="F100" s="42"/>
      <c r="G100" s="42"/>
      <c r="H100" s="42"/>
      <c r="I100" s="42"/>
      <c r="J100" s="42"/>
      <c r="K100" s="42"/>
      <c r="L100" s="42"/>
    </row>
    <row r="101" spans="1:12">
      <c r="A101" s="42"/>
      <c r="B101" s="42"/>
      <c r="C101" s="42"/>
      <c r="D101" s="42"/>
      <c r="E101" s="42"/>
      <c r="F101" s="42"/>
      <c r="G101" s="42"/>
      <c r="H101" s="42"/>
      <c r="I101" s="42"/>
      <c r="J101" s="42"/>
      <c r="K101" s="42"/>
      <c r="L101" s="42"/>
    </row>
    <row r="102" spans="1:12">
      <c r="A102" s="42"/>
      <c r="B102" s="42"/>
      <c r="C102" s="42"/>
      <c r="D102" s="42"/>
      <c r="E102" s="42"/>
      <c r="F102" s="42"/>
      <c r="G102" s="42"/>
      <c r="H102" s="42"/>
      <c r="I102" s="42"/>
      <c r="J102" s="42"/>
      <c r="K102" s="42"/>
      <c r="L102" s="42"/>
    </row>
    <row r="103" spans="1:12">
      <c r="A103" s="42"/>
      <c r="B103" s="42"/>
      <c r="C103" s="42"/>
      <c r="D103" s="42"/>
      <c r="E103" s="42"/>
      <c r="F103" s="42"/>
      <c r="G103" s="42"/>
      <c r="H103" s="42"/>
      <c r="I103" s="42"/>
      <c r="J103" s="42"/>
      <c r="K103" s="42"/>
      <c r="L103" s="42"/>
    </row>
    <row r="104" spans="1:12">
      <c r="A104" s="42"/>
      <c r="B104" s="42"/>
      <c r="C104" s="42"/>
      <c r="D104" s="42"/>
      <c r="E104" s="42"/>
      <c r="F104" s="42"/>
      <c r="G104" s="42"/>
      <c r="H104" s="42"/>
      <c r="I104" s="42"/>
      <c r="J104" s="42"/>
      <c r="K104" s="42"/>
      <c r="L104" s="42"/>
    </row>
    <row r="105" spans="1:12">
      <c r="A105" s="42"/>
      <c r="B105" s="42"/>
      <c r="C105" s="42"/>
      <c r="D105" s="42"/>
      <c r="E105" s="42"/>
      <c r="F105" s="42"/>
      <c r="G105" s="42"/>
      <c r="H105" s="42"/>
      <c r="I105" s="42"/>
      <c r="J105" s="42"/>
      <c r="K105" s="42"/>
      <c r="L105" s="42"/>
    </row>
    <row r="106" spans="1:12">
      <c r="A106" s="42"/>
      <c r="B106" s="42"/>
      <c r="C106" s="42"/>
      <c r="D106" s="42"/>
      <c r="E106" s="42"/>
      <c r="F106" s="42"/>
      <c r="G106" s="42"/>
      <c r="H106" s="42"/>
      <c r="I106" s="42"/>
      <c r="J106" s="42"/>
      <c r="K106" s="42"/>
      <c r="L106" s="42"/>
    </row>
    <row r="107" spans="1:12">
      <c r="A107" s="42"/>
      <c r="B107" s="42"/>
      <c r="C107" s="42"/>
      <c r="D107" s="42"/>
      <c r="E107" s="42"/>
      <c r="F107" s="42"/>
      <c r="G107" s="42"/>
      <c r="H107" s="42"/>
      <c r="I107" s="42"/>
      <c r="J107" s="42"/>
      <c r="K107" s="42"/>
      <c r="L107" s="42"/>
    </row>
    <row r="108" spans="1:12">
      <c r="A108" s="42"/>
      <c r="B108" s="42"/>
      <c r="C108" s="42"/>
      <c r="D108" s="42"/>
      <c r="E108" s="42"/>
      <c r="F108" s="42"/>
      <c r="G108" s="42"/>
      <c r="H108" s="42"/>
      <c r="I108" s="42"/>
      <c r="J108" s="42"/>
      <c r="K108" s="42"/>
      <c r="L108" s="42"/>
    </row>
    <row r="109" spans="1:12">
      <c r="A109" s="42"/>
      <c r="B109" s="42"/>
      <c r="C109" s="42"/>
      <c r="D109" s="42"/>
      <c r="E109" s="42"/>
      <c r="F109" s="42"/>
      <c r="G109" s="42"/>
      <c r="H109" s="42"/>
      <c r="I109" s="42"/>
      <c r="J109" s="42"/>
      <c r="K109" s="42"/>
      <c r="L109" s="42"/>
    </row>
    <row r="110" spans="1:12">
      <c r="A110" s="42"/>
      <c r="B110" s="42"/>
      <c r="C110" s="42"/>
      <c r="D110" s="42"/>
      <c r="E110" s="42"/>
      <c r="F110" s="42"/>
      <c r="G110" s="42"/>
      <c r="H110" s="42"/>
      <c r="I110" s="42"/>
      <c r="J110" s="42"/>
      <c r="K110" s="42"/>
      <c r="L110" s="42"/>
    </row>
    <row r="111" spans="1:12">
      <c r="A111" s="42"/>
      <c r="B111" s="42"/>
      <c r="C111" s="42"/>
      <c r="D111" s="42"/>
      <c r="E111" s="42"/>
      <c r="F111" s="42"/>
      <c r="G111" s="42"/>
      <c r="H111" s="42"/>
      <c r="I111" s="42"/>
      <c r="J111" s="42"/>
      <c r="K111" s="42"/>
      <c r="L111" s="42"/>
    </row>
    <row r="112" spans="1:12">
      <c r="A112" s="42"/>
      <c r="B112" s="42"/>
      <c r="C112" s="42"/>
      <c r="D112" s="42"/>
      <c r="E112" s="42"/>
      <c r="F112" s="42"/>
      <c r="G112" s="42"/>
      <c r="H112" s="42"/>
      <c r="I112" s="42"/>
      <c r="J112" s="42"/>
      <c r="K112" s="42"/>
      <c r="L112" s="42"/>
    </row>
    <row r="113" spans="1:12">
      <c r="A113" s="42"/>
      <c r="B113" s="42"/>
      <c r="C113" s="42"/>
      <c r="D113" s="42"/>
      <c r="E113" s="42"/>
      <c r="F113" s="42"/>
      <c r="G113" s="42"/>
      <c r="H113" s="42"/>
      <c r="I113" s="42"/>
      <c r="J113" s="42"/>
      <c r="K113" s="42"/>
      <c r="L113" s="42"/>
    </row>
    <row r="114" spans="1:12">
      <c r="A114" s="42"/>
      <c r="B114" s="42"/>
      <c r="C114" s="42"/>
      <c r="D114" s="42"/>
      <c r="E114" s="42"/>
      <c r="F114" s="42"/>
      <c r="G114" s="42"/>
      <c r="H114" s="42"/>
      <c r="I114" s="42"/>
      <c r="J114" s="42"/>
      <c r="K114" s="42"/>
      <c r="L114" s="42"/>
    </row>
    <row r="115" spans="1:12">
      <c r="A115" s="42"/>
      <c r="B115" s="42"/>
      <c r="C115" s="42"/>
      <c r="D115" s="42"/>
      <c r="E115" s="42"/>
      <c r="F115" s="42"/>
      <c r="G115" s="42"/>
      <c r="H115" s="42"/>
      <c r="I115" s="42"/>
      <c r="J115" s="42"/>
      <c r="K115" s="42"/>
      <c r="L115" s="42"/>
    </row>
    <row r="116" spans="1:12">
      <c r="A116" s="42"/>
      <c r="B116" s="42"/>
      <c r="C116" s="42"/>
      <c r="D116" s="42"/>
      <c r="E116" s="42"/>
      <c r="F116" s="42"/>
      <c r="G116" s="42"/>
      <c r="H116" s="42"/>
      <c r="I116" s="42"/>
      <c r="J116" s="42"/>
      <c r="K116" s="42"/>
      <c r="L116" s="42"/>
    </row>
    <row r="117" spans="1:12">
      <c r="A117" s="42"/>
      <c r="B117" s="42"/>
      <c r="C117" s="42"/>
      <c r="D117" s="42"/>
      <c r="E117" s="42"/>
      <c r="F117" s="42"/>
      <c r="G117" s="42"/>
      <c r="H117" s="42"/>
      <c r="I117" s="42"/>
      <c r="J117" s="42"/>
      <c r="K117" s="42"/>
      <c r="L117" s="42"/>
    </row>
    <row r="118" spans="1:12">
      <c r="A118" s="42"/>
      <c r="B118" s="42"/>
      <c r="C118" s="42"/>
      <c r="D118" s="42"/>
      <c r="E118" s="42"/>
      <c r="F118" s="42"/>
      <c r="G118" s="42"/>
      <c r="H118" s="42"/>
      <c r="I118" s="42"/>
      <c r="J118" s="42"/>
      <c r="K118" s="42"/>
      <c r="L118" s="42"/>
    </row>
    <row r="119" spans="1:12">
      <c r="A119" s="42"/>
      <c r="B119" s="42"/>
      <c r="C119" s="42"/>
      <c r="D119" s="42"/>
      <c r="E119" s="42"/>
      <c r="F119" s="42"/>
      <c r="G119" s="42"/>
      <c r="H119" s="42"/>
      <c r="I119" s="42"/>
      <c r="J119" s="42"/>
      <c r="K119" s="42"/>
      <c r="L119" s="42"/>
    </row>
    <row r="120" spans="1:12">
      <c r="A120" s="42"/>
      <c r="B120" s="42"/>
      <c r="C120" s="42"/>
      <c r="D120" s="42"/>
      <c r="E120" s="42"/>
      <c r="F120" s="42"/>
      <c r="G120" s="42"/>
      <c r="H120" s="42"/>
      <c r="I120" s="42"/>
      <c r="J120" s="42"/>
      <c r="K120" s="42"/>
      <c r="L120" s="42"/>
    </row>
    <row r="121" spans="1:12">
      <c r="A121" s="42"/>
      <c r="B121" s="42"/>
      <c r="C121" s="42"/>
      <c r="D121" s="42"/>
      <c r="E121" s="42"/>
      <c r="F121" s="42"/>
      <c r="G121" s="42"/>
      <c r="H121" s="42"/>
      <c r="I121" s="42"/>
      <c r="J121" s="42"/>
      <c r="K121" s="42"/>
      <c r="L121" s="42"/>
    </row>
    <row r="122" spans="1:12">
      <c r="A122" s="42"/>
      <c r="B122" s="42"/>
      <c r="C122" s="42"/>
      <c r="D122" s="42"/>
      <c r="E122" s="42"/>
      <c r="F122" s="42"/>
      <c r="G122" s="42"/>
      <c r="H122" s="42"/>
      <c r="I122" s="42"/>
      <c r="J122" s="42"/>
      <c r="K122" s="42"/>
      <c r="L122" s="42"/>
    </row>
    <row r="123" spans="1:12">
      <c r="A123" s="42"/>
      <c r="B123" s="42"/>
      <c r="C123" s="42"/>
      <c r="D123" s="42"/>
      <c r="E123" s="42"/>
      <c r="F123" s="42"/>
      <c r="G123" s="42"/>
      <c r="H123" s="42"/>
      <c r="I123" s="42"/>
      <c r="J123" s="42"/>
      <c r="K123" s="42"/>
      <c r="L123" s="42"/>
    </row>
    <row r="124" spans="1:12">
      <c r="A124" s="42"/>
      <c r="B124" s="42"/>
      <c r="C124" s="42"/>
      <c r="D124" s="42"/>
      <c r="E124" s="42"/>
      <c r="F124" s="42"/>
      <c r="G124" s="42"/>
      <c r="H124" s="42"/>
      <c r="I124" s="42"/>
      <c r="J124" s="42"/>
      <c r="K124" s="42"/>
      <c r="L124" s="42"/>
    </row>
    <row r="125" spans="1:12">
      <c r="A125" s="42"/>
      <c r="B125" s="42"/>
      <c r="C125" s="42"/>
      <c r="D125" s="42"/>
      <c r="E125" s="42"/>
      <c r="F125" s="42"/>
      <c r="G125" s="42"/>
      <c r="H125" s="42"/>
      <c r="I125" s="42"/>
      <c r="J125" s="42"/>
      <c r="K125" s="42"/>
      <c r="L125" s="42"/>
    </row>
    <row r="126" spans="1:12">
      <c r="A126" s="42"/>
      <c r="B126" s="42"/>
      <c r="C126" s="42"/>
      <c r="D126" s="42"/>
      <c r="E126" s="42"/>
      <c r="F126" s="42"/>
      <c r="G126" s="42"/>
      <c r="H126" s="42"/>
      <c r="I126" s="42"/>
      <c r="J126" s="42"/>
      <c r="K126" s="42"/>
      <c r="L126" s="42"/>
    </row>
    <row r="127" spans="1:12">
      <c r="A127" s="42"/>
      <c r="B127" s="42"/>
      <c r="C127" s="42"/>
      <c r="D127" s="42"/>
      <c r="E127" s="42"/>
      <c r="F127" s="42"/>
      <c r="G127" s="42"/>
      <c r="H127" s="42"/>
      <c r="I127" s="42"/>
      <c r="J127" s="42"/>
      <c r="K127" s="42"/>
      <c r="L127" s="42"/>
    </row>
    <row r="128" spans="1:12">
      <c r="A128" s="42"/>
      <c r="B128" s="42"/>
      <c r="C128" s="42"/>
      <c r="D128" s="42"/>
      <c r="E128" s="42"/>
      <c r="F128" s="42"/>
      <c r="G128" s="42"/>
      <c r="H128" s="42"/>
      <c r="I128" s="42"/>
      <c r="J128" s="42"/>
      <c r="K128" s="42"/>
      <c r="L128" s="42"/>
    </row>
    <row r="129" spans="1:12">
      <c r="A129" s="42"/>
      <c r="B129" s="42"/>
      <c r="C129" s="42"/>
      <c r="D129" s="42"/>
      <c r="E129" s="42"/>
      <c r="F129" s="42"/>
      <c r="G129" s="42"/>
      <c r="H129" s="42"/>
      <c r="I129" s="42"/>
      <c r="J129" s="42"/>
      <c r="K129" s="42"/>
      <c r="L129" s="42"/>
    </row>
    <row r="130" spans="1:12">
      <c r="A130" s="42"/>
      <c r="B130" s="42"/>
      <c r="C130" s="42"/>
      <c r="D130" s="42"/>
      <c r="E130" s="42"/>
      <c r="F130" s="42"/>
      <c r="G130" s="42"/>
      <c r="H130" s="42"/>
      <c r="I130" s="42"/>
      <c r="J130" s="42"/>
      <c r="K130" s="42"/>
      <c r="L130" s="42"/>
    </row>
    <row r="131" spans="1:12">
      <c r="A131" s="42"/>
      <c r="B131" s="42"/>
      <c r="C131" s="42"/>
      <c r="D131" s="42"/>
      <c r="E131" s="42"/>
      <c r="F131" s="42"/>
      <c r="G131" s="42"/>
      <c r="H131" s="42"/>
      <c r="I131" s="42"/>
      <c r="J131" s="42"/>
      <c r="K131" s="42"/>
      <c r="L131" s="42"/>
    </row>
    <row r="132" spans="1:12">
      <c r="A132" s="42"/>
      <c r="B132" s="42"/>
      <c r="C132" s="42"/>
      <c r="D132" s="42"/>
      <c r="E132" s="42"/>
      <c r="F132" s="42"/>
      <c r="G132" s="42"/>
      <c r="H132" s="42"/>
      <c r="I132" s="42"/>
      <c r="J132" s="42"/>
      <c r="K132" s="42"/>
      <c r="L132" s="42"/>
    </row>
    <row r="133" spans="1:12">
      <c r="A133" s="42"/>
      <c r="B133" s="42"/>
      <c r="C133" s="42"/>
      <c r="D133" s="42"/>
      <c r="E133" s="42"/>
      <c r="F133" s="42"/>
      <c r="G133" s="42"/>
      <c r="H133" s="42"/>
      <c r="I133" s="42"/>
      <c r="J133" s="42"/>
      <c r="K133" s="42"/>
      <c r="L133" s="42"/>
    </row>
    <row r="134" spans="1:12">
      <c r="A134" s="42"/>
      <c r="B134" s="42"/>
      <c r="C134" s="42"/>
      <c r="D134" s="42"/>
      <c r="E134" s="42"/>
      <c r="F134" s="42"/>
      <c r="G134" s="42"/>
      <c r="H134" s="42"/>
      <c r="I134" s="42"/>
      <c r="J134" s="42"/>
      <c r="K134" s="42"/>
      <c r="L134" s="42"/>
    </row>
    <row r="135" spans="1:12">
      <c r="A135" s="42"/>
      <c r="B135" s="42"/>
      <c r="C135" s="42"/>
      <c r="D135" s="42"/>
      <c r="E135" s="42"/>
      <c r="F135" s="42"/>
      <c r="G135" s="42"/>
      <c r="H135" s="42"/>
      <c r="I135" s="42"/>
      <c r="J135" s="42"/>
      <c r="K135" s="42"/>
      <c r="L135" s="42"/>
    </row>
    <row r="136" spans="1:12">
      <c r="A136" s="42"/>
      <c r="B136" s="42"/>
      <c r="C136" s="42"/>
      <c r="D136" s="42"/>
      <c r="E136" s="42"/>
      <c r="F136" s="42"/>
      <c r="G136" s="42"/>
      <c r="H136" s="42"/>
      <c r="I136" s="42"/>
      <c r="J136" s="42"/>
      <c r="K136" s="42"/>
      <c r="L136" s="42"/>
    </row>
    <row r="137" spans="1:12">
      <c r="A137" s="42"/>
      <c r="B137" s="42"/>
      <c r="C137" s="42"/>
      <c r="D137" s="42"/>
      <c r="E137" s="42"/>
      <c r="F137" s="42"/>
      <c r="G137" s="42"/>
      <c r="H137" s="42"/>
      <c r="I137" s="42"/>
      <c r="J137" s="42"/>
      <c r="K137" s="42"/>
      <c r="L137" s="42"/>
    </row>
    <row r="138" spans="1:12">
      <c r="A138" s="42"/>
      <c r="B138" s="42"/>
      <c r="C138" s="42"/>
      <c r="D138" s="42"/>
      <c r="E138" s="42"/>
      <c r="F138" s="42"/>
      <c r="G138" s="42"/>
      <c r="H138" s="42"/>
      <c r="I138" s="42"/>
      <c r="J138" s="42"/>
      <c r="K138" s="42"/>
      <c r="L138" s="42"/>
    </row>
    <row r="139" spans="1:12">
      <c r="A139" s="42"/>
      <c r="B139" s="42"/>
      <c r="C139" s="42"/>
      <c r="D139" s="42"/>
      <c r="E139" s="42"/>
      <c r="F139" s="42"/>
      <c r="G139" s="42"/>
      <c r="H139" s="42"/>
      <c r="I139" s="42"/>
      <c r="J139" s="42"/>
      <c r="K139" s="42"/>
      <c r="L139" s="42"/>
    </row>
    <row r="140" spans="1:12">
      <c r="A140" s="42"/>
      <c r="B140" s="42"/>
      <c r="C140" s="42"/>
      <c r="D140" s="42"/>
      <c r="E140" s="42"/>
      <c r="F140" s="42"/>
      <c r="G140" s="42"/>
      <c r="H140" s="42"/>
      <c r="I140" s="42"/>
      <c r="J140" s="42"/>
      <c r="K140" s="42"/>
      <c r="L140" s="42"/>
    </row>
    <row r="141" spans="1:12">
      <c r="A141" s="42"/>
      <c r="B141" s="42"/>
      <c r="C141" s="42"/>
      <c r="D141" s="42"/>
      <c r="E141" s="42"/>
      <c r="F141" s="42"/>
      <c r="G141" s="42"/>
      <c r="H141" s="42"/>
      <c r="I141" s="42"/>
      <c r="J141" s="42"/>
      <c r="K141" s="42"/>
      <c r="L141" s="42"/>
    </row>
    <row r="142" spans="1:12">
      <c r="A142" s="42"/>
      <c r="B142" s="42"/>
      <c r="C142" s="42"/>
      <c r="D142" s="42"/>
      <c r="E142" s="42"/>
      <c r="F142" s="42"/>
      <c r="G142" s="42"/>
      <c r="H142" s="42"/>
      <c r="I142" s="42"/>
      <c r="J142" s="42"/>
      <c r="K142" s="42"/>
      <c r="L142" s="42"/>
    </row>
    <row r="143" spans="1:12">
      <c r="A143" s="42"/>
      <c r="B143" s="42"/>
      <c r="C143" s="42"/>
      <c r="D143" s="42"/>
      <c r="E143" s="42"/>
      <c r="F143" s="42"/>
      <c r="G143" s="42"/>
      <c r="H143" s="42"/>
      <c r="I143" s="42"/>
      <c r="J143" s="42"/>
      <c r="K143" s="42"/>
      <c r="L143" s="42"/>
    </row>
    <row r="144" spans="1:12">
      <c r="A144" s="42"/>
      <c r="B144" s="42"/>
      <c r="C144" s="42"/>
      <c r="D144" s="42"/>
      <c r="E144" s="42"/>
      <c r="F144" s="42"/>
      <c r="G144" s="42"/>
      <c r="H144" s="42"/>
      <c r="I144" s="42"/>
      <c r="J144" s="42"/>
      <c r="K144" s="42"/>
      <c r="L144" s="42"/>
    </row>
    <row r="145" spans="1:12">
      <c r="A145" s="42"/>
      <c r="B145" s="42"/>
      <c r="C145" s="42"/>
      <c r="D145" s="42"/>
      <c r="E145" s="42"/>
      <c r="F145" s="42"/>
      <c r="G145" s="42"/>
      <c r="H145" s="42"/>
      <c r="I145" s="42"/>
      <c r="J145" s="42"/>
      <c r="K145" s="42"/>
      <c r="L145" s="42"/>
    </row>
    <row r="146" spans="1:12">
      <c r="A146" s="42"/>
      <c r="B146" s="42"/>
      <c r="C146" s="42"/>
      <c r="D146" s="42"/>
      <c r="E146" s="42"/>
      <c r="F146" s="42"/>
      <c r="G146" s="42"/>
      <c r="H146" s="42"/>
      <c r="I146" s="42"/>
      <c r="J146" s="42"/>
      <c r="K146" s="42"/>
      <c r="L146" s="42"/>
    </row>
    <row r="147" spans="1:12">
      <c r="A147" s="42"/>
      <c r="B147" s="42"/>
      <c r="C147" s="42"/>
      <c r="D147" s="42"/>
      <c r="E147" s="42"/>
      <c r="F147" s="42"/>
      <c r="G147" s="42"/>
      <c r="H147" s="42"/>
      <c r="I147" s="42"/>
      <c r="J147" s="42"/>
      <c r="K147" s="42"/>
      <c r="L147" s="42"/>
    </row>
    <row r="148" spans="1:12">
      <c r="A148" s="42"/>
      <c r="B148" s="42"/>
      <c r="C148" s="42"/>
      <c r="D148" s="42"/>
      <c r="E148" s="42"/>
      <c r="F148" s="42"/>
      <c r="G148" s="42"/>
      <c r="H148" s="42"/>
      <c r="I148" s="42"/>
      <c r="J148" s="42"/>
      <c r="K148" s="42"/>
      <c r="L148" s="42"/>
    </row>
    <row r="149" spans="1:12">
      <c r="A149" s="42"/>
      <c r="B149" s="42"/>
      <c r="C149" s="42"/>
      <c r="D149" s="42"/>
      <c r="E149" s="42"/>
      <c r="F149" s="42"/>
      <c r="G149" s="42"/>
      <c r="H149" s="42"/>
      <c r="I149" s="42"/>
      <c r="J149" s="42"/>
      <c r="K149" s="42"/>
      <c r="L149" s="42"/>
    </row>
    <row r="150" spans="1:12">
      <c r="A150" s="42"/>
      <c r="B150" s="42"/>
      <c r="C150" s="42"/>
      <c r="D150" s="42"/>
      <c r="E150" s="42"/>
      <c r="F150" s="42"/>
      <c r="G150" s="42"/>
      <c r="H150" s="42"/>
      <c r="I150" s="42"/>
      <c r="J150" s="42"/>
      <c r="K150" s="42"/>
      <c r="L150" s="42"/>
    </row>
    <row r="151" spans="1:12">
      <c r="A151" s="42"/>
      <c r="B151" s="42"/>
      <c r="C151" s="42"/>
      <c r="D151" s="42"/>
      <c r="E151" s="42"/>
      <c r="F151" s="42"/>
      <c r="G151" s="42"/>
      <c r="H151" s="42"/>
      <c r="I151" s="42"/>
      <c r="J151" s="42"/>
      <c r="K151" s="42"/>
      <c r="L151" s="42"/>
    </row>
    <row r="152" spans="1:12">
      <c r="A152" s="42"/>
      <c r="B152" s="42"/>
      <c r="C152" s="42"/>
      <c r="D152" s="42"/>
      <c r="E152" s="42"/>
      <c r="F152" s="42"/>
      <c r="G152" s="42"/>
      <c r="H152" s="42"/>
      <c r="I152" s="42"/>
      <c r="J152" s="42"/>
      <c r="K152" s="42"/>
      <c r="L152" s="42"/>
    </row>
    <row r="153" spans="1:12">
      <c r="A153" s="42"/>
      <c r="B153" s="42"/>
      <c r="C153" s="42"/>
      <c r="D153" s="42"/>
      <c r="E153" s="42"/>
      <c r="F153" s="42"/>
      <c r="G153" s="42"/>
      <c r="H153" s="42"/>
      <c r="I153" s="42"/>
      <c r="J153" s="42"/>
      <c r="K153" s="42"/>
      <c r="L153" s="42"/>
    </row>
    <row r="154" spans="1:12">
      <c r="A154" s="42"/>
      <c r="B154" s="42"/>
      <c r="C154" s="42"/>
      <c r="D154" s="42"/>
      <c r="E154" s="42"/>
      <c r="F154" s="42"/>
      <c r="G154" s="42"/>
      <c r="H154" s="42"/>
      <c r="I154" s="42"/>
      <c r="J154" s="42"/>
      <c r="K154" s="42"/>
      <c r="L154" s="42"/>
    </row>
    <row r="155" spans="1:12">
      <c r="A155" s="42"/>
      <c r="B155" s="42"/>
      <c r="C155" s="42"/>
      <c r="D155" s="42"/>
      <c r="E155" s="42"/>
      <c r="F155" s="42"/>
      <c r="G155" s="42"/>
      <c r="H155" s="42"/>
      <c r="I155" s="42"/>
      <c r="J155" s="42"/>
      <c r="K155" s="42"/>
      <c r="L155" s="42"/>
    </row>
    <row r="156" spans="1:12">
      <c r="A156" s="42"/>
      <c r="B156" s="42"/>
      <c r="C156" s="42"/>
      <c r="D156" s="42"/>
      <c r="E156" s="42"/>
      <c r="F156" s="42"/>
      <c r="G156" s="42"/>
      <c r="H156" s="42"/>
      <c r="I156" s="42"/>
      <c r="J156" s="42"/>
      <c r="K156" s="42"/>
      <c r="L156" s="42"/>
    </row>
    <row r="157" spans="1:12">
      <c r="A157" s="42"/>
      <c r="B157" s="42"/>
      <c r="C157" s="42"/>
      <c r="D157" s="42"/>
      <c r="E157" s="42"/>
      <c r="F157" s="42"/>
      <c r="G157" s="42"/>
      <c r="H157" s="42"/>
      <c r="I157" s="42"/>
      <c r="J157" s="42"/>
      <c r="K157" s="42"/>
      <c r="L157" s="42"/>
    </row>
    <row r="158" spans="1:12">
      <c r="A158" s="42"/>
      <c r="B158" s="42"/>
      <c r="C158" s="42"/>
      <c r="D158" s="42"/>
      <c r="E158" s="42"/>
      <c r="F158" s="42"/>
      <c r="G158" s="42"/>
      <c r="H158" s="42"/>
      <c r="I158" s="42"/>
      <c r="J158" s="42"/>
      <c r="K158" s="42"/>
      <c r="L158" s="42"/>
    </row>
    <row r="159" spans="1:12">
      <c r="A159" s="42"/>
      <c r="B159" s="42"/>
      <c r="C159" s="42"/>
      <c r="D159" s="42"/>
      <c r="E159" s="42"/>
      <c r="F159" s="42"/>
      <c r="G159" s="42"/>
      <c r="H159" s="42"/>
      <c r="I159" s="42"/>
      <c r="J159" s="42"/>
      <c r="K159" s="42"/>
      <c r="L159" s="42"/>
    </row>
    <row r="160" spans="1:12">
      <c r="A160" s="42"/>
      <c r="B160" s="42"/>
      <c r="C160" s="42"/>
      <c r="D160" s="42"/>
      <c r="E160" s="42"/>
      <c r="F160" s="42"/>
      <c r="G160" s="42"/>
      <c r="H160" s="42"/>
      <c r="I160" s="42"/>
      <c r="J160" s="42"/>
      <c r="K160" s="42"/>
      <c r="L160" s="42"/>
    </row>
    <row r="161" spans="1:12">
      <c r="A161" s="42"/>
      <c r="B161" s="42"/>
      <c r="C161" s="42"/>
      <c r="D161" s="42"/>
      <c r="E161" s="42"/>
      <c r="F161" s="42"/>
      <c r="G161" s="42"/>
      <c r="H161" s="42"/>
      <c r="I161" s="42"/>
      <c r="J161" s="42"/>
      <c r="K161" s="42"/>
      <c r="L161" s="42"/>
    </row>
    <row r="162" spans="1:12">
      <c r="A162" s="42"/>
      <c r="B162" s="42"/>
      <c r="C162" s="42"/>
      <c r="D162" s="42"/>
      <c r="E162" s="42"/>
      <c r="F162" s="42"/>
      <c r="G162" s="42"/>
      <c r="H162" s="42"/>
      <c r="I162" s="42"/>
      <c r="J162" s="42"/>
      <c r="K162" s="42"/>
      <c r="L162" s="42"/>
    </row>
    <row r="163" spans="1:12">
      <c r="A163" s="42"/>
      <c r="B163" s="42"/>
      <c r="C163" s="42"/>
      <c r="D163" s="42"/>
      <c r="E163" s="42"/>
      <c r="F163" s="42"/>
      <c r="G163" s="42"/>
      <c r="H163" s="42"/>
      <c r="I163" s="42"/>
      <c r="J163" s="42"/>
      <c r="K163" s="42"/>
      <c r="L163" s="42"/>
    </row>
    <row r="164" spans="1:12">
      <c r="A164" s="42"/>
      <c r="B164" s="42"/>
      <c r="C164" s="42"/>
      <c r="D164" s="42"/>
      <c r="E164" s="42"/>
      <c r="F164" s="42"/>
      <c r="G164" s="42"/>
      <c r="H164" s="42"/>
      <c r="I164" s="42"/>
      <c r="J164" s="42"/>
      <c r="K164" s="42"/>
      <c r="L164" s="42"/>
    </row>
    <row r="165" spans="1:12">
      <c r="A165" s="42"/>
      <c r="B165" s="42"/>
      <c r="C165" s="42"/>
      <c r="D165" s="42"/>
      <c r="E165" s="42"/>
      <c r="F165" s="42"/>
      <c r="G165" s="42"/>
      <c r="H165" s="42"/>
      <c r="I165" s="42"/>
      <c r="J165" s="42"/>
      <c r="K165" s="42"/>
      <c r="L165" s="42"/>
    </row>
    <row r="166" spans="1:12">
      <c r="A166" s="42"/>
      <c r="B166" s="42"/>
      <c r="C166" s="42"/>
      <c r="D166" s="42"/>
      <c r="E166" s="42"/>
      <c r="F166" s="42"/>
      <c r="G166" s="42"/>
      <c r="H166" s="42"/>
      <c r="I166" s="42"/>
      <c r="J166" s="42"/>
      <c r="K166" s="42"/>
      <c r="L166" s="42"/>
    </row>
    <row r="167" spans="1:12">
      <c r="A167" s="42"/>
      <c r="B167" s="42"/>
      <c r="C167" s="42"/>
      <c r="D167" s="42"/>
      <c r="E167" s="42"/>
      <c r="F167" s="42"/>
      <c r="G167" s="42"/>
      <c r="H167" s="42"/>
      <c r="I167" s="42"/>
      <c r="J167" s="42"/>
      <c r="K167" s="42"/>
      <c r="L167" s="42"/>
    </row>
    <row r="168" spans="1:12">
      <c r="A168" s="42"/>
      <c r="B168" s="42"/>
      <c r="C168" s="42"/>
      <c r="D168" s="42"/>
      <c r="E168" s="42"/>
      <c r="F168" s="42"/>
      <c r="G168" s="42"/>
      <c r="H168" s="42"/>
      <c r="I168" s="42"/>
      <c r="J168" s="42"/>
      <c r="K168" s="42"/>
      <c r="L168" s="42"/>
    </row>
    <row r="169" spans="1:12">
      <c r="A169" s="42"/>
      <c r="B169" s="42"/>
      <c r="C169" s="42"/>
      <c r="D169" s="42"/>
      <c r="E169" s="42"/>
      <c r="F169" s="42"/>
      <c r="G169" s="42"/>
      <c r="H169" s="42"/>
      <c r="I169" s="42"/>
      <c r="J169" s="42"/>
      <c r="K169" s="42"/>
      <c r="L169" s="42"/>
    </row>
    <row r="170" spans="1:12">
      <c r="A170" s="42"/>
      <c r="B170" s="42"/>
      <c r="C170" s="42"/>
      <c r="D170" s="42"/>
      <c r="E170" s="42"/>
      <c r="F170" s="42"/>
      <c r="G170" s="42"/>
      <c r="H170" s="42"/>
      <c r="I170" s="42"/>
      <c r="J170" s="42"/>
      <c r="K170" s="42"/>
      <c r="L170" s="42"/>
    </row>
    <row r="171" spans="1:12">
      <c r="A171" s="42"/>
      <c r="B171" s="42"/>
      <c r="C171" s="42"/>
      <c r="D171" s="42"/>
      <c r="E171" s="42"/>
      <c r="F171" s="42"/>
      <c r="G171" s="42"/>
      <c r="H171" s="42"/>
      <c r="I171" s="42"/>
      <c r="J171" s="42"/>
      <c r="K171" s="42"/>
      <c r="L171" s="42"/>
    </row>
    <row r="172" spans="1:12">
      <c r="A172" s="42"/>
      <c r="B172" s="42"/>
      <c r="C172" s="42"/>
      <c r="D172" s="42"/>
      <c r="E172" s="42"/>
      <c r="F172" s="42"/>
      <c r="G172" s="42"/>
      <c r="H172" s="42"/>
      <c r="I172" s="42"/>
      <c r="J172" s="42"/>
      <c r="K172" s="42"/>
      <c r="L172" s="42"/>
    </row>
    <row r="173" spans="1:12">
      <c r="A173" s="42"/>
      <c r="B173" s="42"/>
      <c r="C173" s="42"/>
      <c r="D173" s="42"/>
      <c r="E173" s="42"/>
      <c r="F173" s="42"/>
      <c r="G173" s="42"/>
      <c r="H173" s="42"/>
      <c r="I173" s="42"/>
      <c r="J173" s="42"/>
      <c r="K173" s="42"/>
      <c r="L173" s="42"/>
    </row>
    <row r="174" spans="1:12">
      <c r="A174" s="42"/>
      <c r="B174" s="42"/>
      <c r="C174" s="42"/>
      <c r="D174" s="42"/>
      <c r="E174" s="42"/>
      <c r="F174" s="42"/>
      <c r="G174" s="42"/>
      <c r="H174" s="42"/>
      <c r="I174" s="42"/>
      <c r="J174" s="42"/>
      <c r="K174" s="42"/>
      <c r="L174" s="42"/>
    </row>
    <row r="175" spans="1:12">
      <c r="A175" s="42"/>
      <c r="B175" s="42"/>
      <c r="C175" s="42"/>
      <c r="D175" s="42"/>
      <c r="E175" s="42"/>
      <c r="F175" s="42"/>
      <c r="G175" s="42"/>
      <c r="H175" s="42"/>
      <c r="I175" s="42"/>
      <c r="J175" s="42"/>
      <c r="K175" s="42"/>
      <c r="L175" s="42"/>
    </row>
    <row r="176" spans="1:12">
      <c r="A176" s="42"/>
      <c r="B176" s="42"/>
      <c r="C176" s="42"/>
      <c r="D176" s="42"/>
      <c r="E176" s="42"/>
      <c r="F176" s="42"/>
      <c r="G176" s="42"/>
      <c r="H176" s="42"/>
      <c r="I176" s="42"/>
      <c r="J176" s="42"/>
      <c r="K176" s="42"/>
      <c r="L176" s="42"/>
    </row>
    <row r="177" spans="1:12">
      <c r="A177" s="42"/>
      <c r="B177" s="42"/>
      <c r="C177" s="42"/>
      <c r="D177" s="42"/>
      <c r="E177" s="42"/>
      <c r="F177" s="42"/>
      <c r="G177" s="42"/>
      <c r="H177" s="42"/>
      <c r="I177" s="42"/>
      <c r="J177" s="42"/>
      <c r="K177" s="42"/>
      <c r="L177" s="42"/>
    </row>
    <row r="178" spans="1:12">
      <c r="A178" s="42"/>
      <c r="B178" s="42"/>
      <c r="C178" s="42"/>
      <c r="D178" s="42"/>
      <c r="E178" s="42"/>
      <c r="F178" s="42"/>
      <c r="G178" s="42"/>
      <c r="H178" s="42"/>
      <c r="I178" s="42"/>
      <c r="J178" s="42"/>
      <c r="K178" s="42"/>
      <c r="L178" s="42"/>
    </row>
    <row r="179" spans="1:12">
      <c r="A179" s="42"/>
      <c r="B179" s="42"/>
      <c r="C179" s="42"/>
      <c r="D179" s="42"/>
      <c r="E179" s="42"/>
      <c r="F179" s="42"/>
      <c r="G179" s="42"/>
      <c r="H179" s="42"/>
      <c r="I179" s="42"/>
      <c r="J179" s="42"/>
      <c r="K179" s="42"/>
      <c r="L179" s="42"/>
    </row>
    <row r="180" spans="1:12">
      <c r="A180" s="42"/>
      <c r="B180" s="42"/>
      <c r="C180" s="42"/>
      <c r="D180" s="42"/>
      <c r="E180" s="42"/>
      <c r="F180" s="42"/>
      <c r="G180" s="42"/>
      <c r="H180" s="42"/>
      <c r="I180" s="42"/>
      <c r="J180" s="42"/>
      <c r="K180" s="42"/>
      <c r="L180" s="42"/>
    </row>
    <row r="181" spans="1:12">
      <c r="A181" s="42"/>
      <c r="B181" s="42"/>
      <c r="C181" s="42"/>
      <c r="D181" s="42"/>
      <c r="E181" s="42"/>
      <c r="F181" s="42"/>
      <c r="G181" s="42"/>
      <c r="H181" s="42"/>
      <c r="I181" s="42"/>
      <c r="J181" s="42"/>
      <c r="K181" s="42"/>
      <c r="L181" s="42"/>
    </row>
    <row r="182" spans="1:12">
      <c r="A182" s="42"/>
      <c r="B182" s="42"/>
      <c r="C182" s="42"/>
      <c r="D182" s="42"/>
      <c r="E182" s="42"/>
      <c r="F182" s="42"/>
      <c r="G182" s="42"/>
      <c r="H182" s="42"/>
      <c r="I182" s="42"/>
      <c r="J182" s="42"/>
      <c r="K182" s="42"/>
      <c r="L182" s="42"/>
    </row>
    <row r="183" spans="1:12">
      <c r="A183" s="42"/>
      <c r="B183" s="42"/>
      <c r="C183" s="42"/>
      <c r="D183" s="42"/>
      <c r="E183" s="42"/>
      <c r="F183" s="42"/>
      <c r="G183" s="42"/>
      <c r="H183" s="42"/>
      <c r="I183" s="42"/>
      <c r="J183" s="42"/>
      <c r="K183" s="42"/>
      <c r="L183" s="42"/>
    </row>
    <row r="184" spans="1:12">
      <c r="A184" s="42"/>
      <c r="B184" s="42"/>
      <c r="C184" s="42"/>
      <c r="D184" s="42"/>
      <c r="E184" s="42"/>
      <c r="F184" s="42"/>
      <c r="G184" s="42"/>
      <c r="H184" s="42"/>
      <c r="I184" s="42"/>
      <c r="J184" s="42"/>
      <c r="K184" s="42"/>
      <c r="L184" s="42"/>
    </row>
    <row r="185" spans="1:12">
      <c r="A185" s="42"/>
      <c r="B185" s="42"/>
      <c r="C185" s="42"/>
      <c r="D185" s="42"/>
      <c r="E185" s="42"/>
      <c r="F185" s="42"/>
      <c r="G185" s="42"/>
      <c r="H185" s="42"/>
      <c r="I185" s="42"/>
      <c r="J185" s="42"/>
      <c r="K185" s="42"/>
      <c r="L185" s="42"/>
    </row>
    <row r="186" spans="1:12">
      <c r="A186" s="42"/>
      <c r="B186" s="42"/>
      <c r="C186" s="42"/>
      <c r="D186" s="42"/>
      <c r="E186" s="42"/>
      <c r="F186" s="42"/>
      <c r="G186" s="42"/>
      <c r="H186" s="42"/>
      <c r="I186" s="42"/>
      <c r="J186" s="42"/>
      <c r="K186" s="42"/>
      <c r="L186" s="42"/>
    </row>
    <row r="187" spans="1:12">
      <c r="A187" s="42"/>
      <c r="B187" s="42"/>
      <c r="C187" s="42"/>
      <c r="D187" s="42"/>
      <c r="E187" s="42"/>
      <c r="F187" s="42"/>
      <c r="G187" s="42"/>
      <c r="H187" s="42"/>
      <c r="I187" s="42"/>
      <c r="J187" s="42"/>
      <c r="K187" s="42"/>
      <c r="L187" s="42"/>
    </row>
    <row r="188" spans="1:12">
      <c r="A188" s="42"/>
      <c r="B188" s="42"/>
      <c r="C188" s="42"/>
      <c r="D188" s="42"/>
      <c r="E188" s="42"/>
      <c r="F188" s="42"/>
      <c r="G188" s="42"/>
      <c r="H188" s="42"/>
      <c r="I188" s="42"/>
      <c r="J188" s="42"/>
      <c r="K188" s="42"/>
      <c r="L188" s="42"/>
    </row>
    <row r="189" spans="1:12">
      <c r="A189" s="42"/>
      <c r="B189" s="42"/>
      <c r="C189" s="42"/>
      <c r="D189" s="42"/>
      <c r="E189" s="42"/>
      <c r="F189" s="42"/>
      <c r="G189" s="42"/>
      <c r="H189" s="42"/>
      <c r="I189" s="42"/>
      <c r="J189" s="42"/>
      <c r="K189" s="42"/>
      <c r="L189" s="42"/>
    </row>
    <row r="190" spans="1:12">
      <c r="A190" s="42"/>
      <c r="B190" s="42"/>
      <c r="C190" s="42"/>
      <c r="D190" s="42"/>
      <c r="E190" s="42"/>
      <c r="F190" s="42"/>
      <c r="G190" s="42"/>
      <c r="H190" s="42"/>
      <c r="I190" s="42"/>
      <c r="J190" s="42"/>
      <c r="K190" s="42"/>
      <c r="L190" s="42"/>
    </row>
    <row r="191" spans="1:12">
      <c r="A191" s="42"/>
      <c r="B191" s="42"/>
      <c r="C191" s="42"/>
      <c r="D191" s="42"/>
      <c r="E191" s="42"/>
      <c r="F191" s="42"/>
      <c r="G191" s="42"/>
      <c r="H191" s="42"/>
      <c r="I191" s="42"/>
      <c r="J191" s="42"/>
      <c r="K191" s="42"/>
      <c r="L191" s="42"/>
    </row>
    <row r="192" spans="1:12">
      <c r="A192" s="42"/>
      <c r="B192" s="42"/>
      <c r="C192" s="42"/>
      <c r="D192" s="42"/>
      <c r="E192" s="42"/>
      <c r="F192" s="42"/>
      <c r="G192" s="42"/>
      <c r="H192" s="42"/>
      <c r="I192" s="42"/>
      <c r="J192" s="42"/>
      <c r="K192" s="42"/>
      <c r="L192" s="42"/>
    </row>
    <row r="193" spans="1:12">
      <c r="A193" s="42"/>
      <c r="B193" s="42"/>
      <c r="C193" s="42"/>
      <c r="D193" s="42"/>
      <c r="E193" s="42"/>
      <c r="F193" s="42"/>
      <c r="G193" s="42"/>
      <c r="H193" s="42"/>
      <c r="I193" s="42"/>
      <c r="J193" s="42"/>
      <c r="K193" s="42"/>
      <c r="L193" s="42"/>
    </row>
    <row r="194" spans="1:12">
      <c r="A194" s="42"/>
      <c r="B194" s="42"/>
      <c r="C194" s="42"/>
      <c r="D194" s="42"/>
      <c r="E194" s="42"/>
      <c r="F194" s="42"/>
      <c r="G194" s="42"/>
      <c r="H194" s="42"/>
      <c r="I194" s="42"/>
      <c r="J194" s="42"/>
      <c r="K194" s="42"/>
      <c r="L194" s="42"/>
    </row>
    <row r="195" spans="1:12">
      <c r="A195" s="42"/>
      <c r="B195" s="42"/>
      <c r="C195" s="42"/>
      <c r="D195" s="42"/>
      <c r="E195" s="42"/>
      <c r="F195" s="42"/>
      <c r="G195" s="42"/>
      <c r="H195" s="42"/>
      <c r="I195" s="42"/>
      <c r="J195" s="42"/>
      <c r="K195" s="42"/>
      <c r="L195" s="42"/>
    </row>
    <row r="196" spans="1:12">
      <c r="A196" s="42"/>
      <c r="B196" s="42"/>
      <c r="C196" s="42"/>
      <c r="D196" s="42"/>
      <c r="E196" s="42"/>
      <c r="F196" s="42"/>
      <c r="G196" s="42"/>
      <c r="H196" s="42"/>
      <c r="I196" s="42"/>
      <c r="J196" s="42"/>
      <c r="K196" s="42"/>
      <c r="L196" s="42"/>
    </row>
    <row r="197" spans="1:12">
      <c r="A197" s="42"/>
      <c r="B197" s="42"/>
      <c r="C197" s="42"/>
      <c r="D197" s="42"/>
      <c r="E197" s="42"/>
      <c r="F197" s="42"/>
      <c r="G197" s="42"/>
      <c r="H197" s="42"/>
      <c r="I197" s="42"/>
      <c r="J197" s="42"/>
      <c r="K197" s="42"/>
      <c r="L197" s="42"/>
    </row>
    <row r="198" spans="1:12">
      <c r="A198" s="42"/>
      <c r="B198" s="42"/>
      <c r="C198" s="42"/>
      <c r="D198" s="42"/>
      <c r="E198" s="42"/>
      <c r="F198" s="42"/>
      <c r="G198" s="42"/>
      <c r="H198" s="42"/>
      <c r="I198" s="42"/>
      <c r="J198" s="42"/>
      <c r="K198" s="42"/>
      <c r="L198" s="42"/>
    </row>
    <row r="199" spans="1:12">
      <c r="A199" s="42"/>
      <c r="B199" s="42"/>
      <c r="C199" s="42"/>
      <c r="D199" s="42"/>
      <c r="E199" s="42"/>
      <c r="F199" s="42"/>
      <c r="G199" s="42"/>
      <c r="H199" s="42"/>
      <c r="I199" s="42"/>
      <c r="J199" s="42"/>
      <c r="K199" s="42"/>
      <c r="L199" s="42"/>
    </row>
    <row r="200" spans="1:12">
      <c r="A200" s="42"/>
      <c r="B200" s="42"/>
      <c r="C200" s="42"/>
      <c r="D200" s="42"/>
      <c r="E200" s="42"/>
      <c r="F200" s="42"/>
      <c r="G200" s="42"/>
      <c r="H200" s="42"/>
      <c r="I200" s="42"/>
      <c r="J200" s="42"/>
      <c r="K200" s="42"/>
      <c r="L200" s="42"/>
    </row>
    <row r="201" spans="1:12">
      <c r="A201" s="42"/>
      <c r="B201" s="42"/>
      <c r="C201" s="42"/>
      <c r="D201" s="42"/>
      <c r="E201" s="42"/>
      <c r="F201" s="42"/>
      <c r="G201" s="42"/>
      <c r="H201" s="42"/>
      <c r="I201" s="42"/>
      <c r="J201" s="42"/>
      <c r="K201" s="42"/>
      <c r="L201" s="42"/>
    </row>
    <row r="202" spans="1:12">
      <c r="A202" s="42"/>
      <c r="B202" s="42"/>
      <c r="C202" s="42"/>
      <c r="D202" s="42"/>
      <c r="E202" s="42"/>
      <c r="F202" s="42"/>
      <c r="G202" s="42"/>
      <c r="H202" s="42"/>
      <c r="I202" s="42"/>
      <c r="J202" s="42"/>
      <c r="K202" s="42"/>
      <c r="L202" s="42"/>
    </row>
    <row r="203" spans="1:12">
      <c r="A203" s="42"/>
      <c r="B203" s="42"/>
      <c r="C203" s="42"/>
      <c r="D203" s="42"/>
      <c r="E203" s="42"/>
      <c r="F203" s="42"/>
      <c r="G203" s="42"/>
      <c r="H203" s="42"/>
      <c r="I203" s="42"/>
      <c r="J203" s="42"/>
      <c r="K203" s="42"/>
      <c r="L203" s="42"/>
    </row>
    <row r="204" spans="1:12">
      <c r="A204" s="42"/>
      <c r="B204" s="42"/>
      <c r="C204" s="42"/>
      <c r="D204" s="42"/>
      <c r="E204" s="42"/>
      <c r="F204" s="42"/>
      <c r="G204" s="42"/>
      <c r="H204" s="42"/>
      <c r="I204" s="42"/>
      <c r="J204" s="42"/>
      <c r="K204" s="42"/>
      <c r="L204" s="42"/>
    </row>
    <row r="205" spans="1:12">
      <c r="A205" s="42"/>
      <c r="B205" s="42"/>
      <c r="C205" s="42"/>
      <c r="D205" s="42"/>
      <c r="E205" s="42"/>
      <c r="F205" s="42"/>
      <c r="G205" s="42"/>
      <c r="H205" s="42"/>
      <c r="I205" s="42"/>
      <c r="J205" s="42"/>
      <c r="K205" s="42"/>
      <c r="L205" s="42"/>
    </row>
    <row r="206" spans="1:12">
      <c r="A206" s="42"/>
      <c r="B206" s="42"/>
      <c r="C206" s="42"/>
      <c r="D206" s="42"/>
      <c r="E206" s="42"/>
      <c r="F206" s="42"/>
      <c r="G206" s="42"/>
      <c r="H206" s="42"/>
      <c r="I206" s="42"/>
      <c r="J206" s="42"/>
      <c r="K206" s="42"/>
      <c r="L206" s="42"/>
    </row>
    <row r="207" spans="1:12">
      <c r="A207" s="42"/>
      <c r="B207" s="42"/>
      <c r="C207" s="42"/>
      <c r="D207" s="42"/>
      <c r="E207" s="42"/>
      <c r="F207" s="42"/>
      <c r="G207" s="42"/>
      <c r="H207" s="42"/>
      <c r="I207" s="42"/>
      <c r="J207" s="42"/>
      <c r="K207" s="42"/>
      <c r="L207" s="42"/>
    </row>
    <row r="208" spans="1:12">
      <c r="A208" s="42"/>
      <c r="B208" s="42"/>
      <c r="C208" s="42"/>
      <c r="D208" s="42"/>
      <c r="E208" s="42"/>
      <c r="F208" s="42"/>
      <c r="G208" s="42"/>
      <c r="H208" s="42"/>
      <c r="I208" s="42"/>
      <c r="J208" s="42"/>
      <c r="K208" s="42"/>
      <c r="L208" s="42"/>
    </row>
    <row r="209" spans="1:12">
      <c r="A209" s="42"/>
      <c r="B209" s="42"/>
      <c r="C209" s="42"/>
      <c r="D209" s="42"/>
      <c r="E209" s="42"/>
      <c r="F209" s="42"/>
      <c r="G209" s="42"/>
      <c r="H209" s="42"/>
      <c r="I209" s="42"/>
      <c r="J209" s="42"/>
      <c r="K209" s="42"/>
      <c r="L209" s="42"/>
    </row>
    <row r="210" spans="1:12">
      <c r="A210" s="42"/>
      <c r="B210" s="42"/>
      <c r="C210" s="42"/>
      <c r="D210" s="42"/>
      <c r="E210" s="42"/>
      <c r="F210" s="42"/>
      <c r="G210" s="42"/>
      <c r="H210" s="42"/>
      <c r="I210" s="42"/>
      <c r="J210" s="42"/>
      <c r="K210" s="42"/>
      <c r="L210" s="42"/>
    </row>
    <row r="211" spans="1:12">
      <c r="A211" s="42"/>
      <c r="B211" s="42"/>
      <c r="C211" s="42"/>
      <c r="D211" s="42"/>
      <c r="E211" s="42"/>
      <c r="F211" s="42"/>
      <c r="G211" s="42"/>
      <c r="H211" s="42"/>
      <c r="I211" s="42"/>
      <c r="J211" s="42"/>
      <c r="K211" s="42"/>
      <c r="L211" s="42"/>
    </row>
    <row r="212" spans="1:12">
      <c r="A212" s="42"/>
      <c r="B212" s="42"/>
      <c r="C212" s="42"/>
      <c r="D212" s="42"/>
      <c r="E212" s="42"/>
      <c r="F212" s="42"/>
      <c r="G212" s="42"/>
      <c r="H212" s="42"/>
      <c r="I212" s="42"/>
      <c r="J212" s="42"/>
      <c r="K212" s="42"/>
      <c r="L212" s="42"/>
    </row>
  </sheetData>
  <autoFilter ref="A9:L209" xr:uid="{00000000-0009-0000-0000-000001000000}"/>
  <mergeCells count="10">
    <mergeCell ref="B41:L41"/>
    <mergeCell ref="B6:M6"/>
    <mergeCell ref="A1:M1"/>
    <mergeCell ref="B3:M3"/>
    <mergeCell ref="B5:M5"/>
    <mergeCell ref="B15:L15"/>
    <mergeCell ref="B20:L20"/>
    <mergeCell ref="B10:L10"/>
    <mergeCell ref="B4:M4"/>
    <mergeCell ref="A2:M2"/>
  </mergeCells>
  <conditionalFormatting sqref="F10:F209">
    <cfRule type="cellIs" dxfId="13" priority="10" operator="equal">
      <formula>"In-House"</formula>
    </cfRule>
    <cfRule type="cellIs" dxfId="12" priority="11" operator="equal">
      <formula>"Folded Metal"</formula>
    </cfRule>
    <cfRule type="cellIs" dxfId="11" priority="12" operator="equal">
      <formula>"S&amp;S Steel"</formula>
    </cfRule>
  </conditionalFormatting>
  <conditionalFormatting sqref="G10:G209">
    <cfRule type="cellIs" dxfId="10" priority="1" operator="equal">
      <formula>"Parts Processing"</formula>
    </cfRule>
    <cfRule type="cellIs" dxfId="9" priority="2" operator="equal">
      <formula>"Sent to Vendor"</formula>
    </cfRule>
    <cfRule type="cellIs" dxfId="8" priority="3" operator="equal">
      <formula>"At Vendor"</formula>
    </cfRule>
    <cfRule type="cellIs" dxfId="7" priority="4" operator="equal">
      <formula>"Ready for Pickup"</formula>
    </cfRule>
    <cfRule type="cellIs" dxfId="6" priority="5" operator="equal">
      <formula>"Cut"</formula>
    </cfRule>
    <cfRule type="cellIs" dxfId="5" priority="6" operator="equal">
      <formula>"Fit"</formula>
    </cfRule>
    <cfRule type="cellIs" dxfId="4" priority="7" operator="equal">
      <formula>"Welded"</formula>
    </cfRule>
    <cfRule type="cellIs" dxfId="3" priority="8" operator="equal">
      <formula>"Inspected"</formula>
    </cfRule>
    <cfRule type="cellIs" dxfId="2" priority="9" operator="equal">
      <formula>"Shipped"</formula>
    </cfRule>
  </conditionalFormatting>
  <conditionalFormatting sqref="H10:H209">
    <cfRule type="cellIs" dxfId="1" priority="13" operator="equal">
      <formula>"Yes"</formula>
    </cfRule>
    <cfRule type="cellIs" dxfId="0" priority="14" operator="equal">
      <formula>"No"</formula>
    </cfRule>
  </conditionalFormatting>
  <dataValidations count="3">
    <dataValidation type="list" allowBlank="1" prompt="Pick processing path" sqref="F10:F209" xr:uid="{00000000-0002-0000-0100-000000000000}">
      <formula1>"In-House,Folded Metal,S&amp;S Steel"</formula1>
    </dataValidation>
    <dataValidation type="list" allowBlank="1" promptTitle="Current Stage" prompt="Pick the assembly's current stage" sqref="G10:G209" xr:uid="{00000000-0002-0000-0100-000001000000}">
      <formula1>"Parts Processing,Sent to Vendor,At Vendor,Ready for Pickup,Cut,Fit,Welded,Inspected,Shipped"</formula1>
    </dataValidation>
    <dataValidation type="list" allowBlank="1" sqref="H10:H209" xr:uid="{00000000-0002-0000-0100-000002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00"/>
  <sheetViews>
    <sheetView workbookViewId="0">
      <pane ySplit="5" topLeftCell="A6" activePane="bottomLeft" state="frozen"/>
      <selection pane="bottomLeft" activeCell="K10" sqref="K10"/>
    </sheetView>
  </sheetViews>
  <sheetFormatPr defaultRowHeight="15" outlineLevelRow="1"/>
  <cols>
    <col min="1" max="1" width="5" customWidth="1"/>
    <col min="2" max="2" width="11" customWidth="1"/>
    <col min="3" max="3" width="14" customWidth="1"/>
    <col min="4" max="4" width="16" customWidth="1"/>
    <col min="5" max="5" width="56" customWidth="1"/>
    <col min="6" max="6" width="6" customWidth="1"/>
    <col min="7" max="7" width="12" customWidth="1"/>
    <col min="8" max="8" width="38" customWidth="1"/>
  </cols>
  <sheetData>
    <row r="1" spans="1:8" ht="26.1" customHeight="1">
      <c r="A1" s="64" t="s">
        <v>122</v>
      </c>
      <c r="B1" s="67"/>
      <c r="C1" s="67"/>
      <c r="D1" s="67"/>
      <c r="E1" s="67"/>
      <c r="F1" s="67"/>
      <c r="G1" s="67"/>
      <c r="H1" s="67"/>
    </row>
    <row r="2" spans="1:8" ht="30" customHeight="1">
      <c r="A2" s="62" t="s">
        <v>123</v>
      </c>
      <c r="B2" s="67"/>
      <c r="C2" s="67"/>
      <c r="D2" s="67"/>
      <c r="E2" s="67"/>
      <c r="F2" s="67"/>
      <c r="G2" s="67"/>
      <c r="H2" s="67"/>
    </row>
    <row r="3" spans="1:8" ht="26.1" customHeight="1">
      <c r="A3" s="60" t="s">
        <v>124</v>
      </c>
      <c r="B3" s="67"/>
      <c r="C3" s="67"/>
      <c r="D3" s="67"/>
      <c r="E3" s="67"/>
      <c r="F3" s="67"/>
      <c r="G3" s="67"/>
      <c r="H3" s="67"/>
    </row>
    <row r="4" spans="1:8" ht="6" customHeight="1">
      <c r="A4" s="50"/>
      <c r="B4" s="50"/>
      <c r="C4" s="50"/>
      <c r="D4" s="50"/>
      <c r="E4" s="50"/>
      <c r="F4" s="50"/>
      <c r="G4" s="50"/>
      <c r="H4" s="50"/>
    </row>
    <row r="5" spans="1:8" ht="21.95" customHeight="1">
      <c r="A5" s="38" t="s">
        <v>41</v>
      </c>
      <c r="B5" s="38" t="s">
        <v>125</v>
      </c>
      <c r="C5" s="38" t="s">
        <v>126</v>
      </c>
      <c r="D5" s="38" t="s">
        <v>127</v>
      </c>
      <c r="E5" s="38" t="s">
        <v>128</v>
      </c>
      <c r="F5" s="38" t="s">
        <v>44</v>
      </c>
      <c r="G5" s="38" t="s">
        <v>129</v>
      </c>
      <c r="H5" s="38" t="s">
        <v>50</v>
      </c>
    </row>
    <row r="6" spans="1:8" ht="21.95" customHeight="1">
      <c r="A6" s="65" t="s">
        <v>130</v>
      </c>
      <c r="B6" s="67"/>
      <c r="C6" s="67"/>
      <c r="D6" s="67"/>
      <c r="E6" s="67"/>
      <c r="F6" s="67"/>
      <c r="G6" s="67"/>
      <c r="H6" s="67"/>
    </row>
    <row r="7" spans="1:8" ht="20.100000000000001" customHeight="1" outlineLevel="1">
      <c r="A7" s="39">
        <v>1</v>
      </c>
      <c r="B7" s="39" t="s">
        <v>21</v>
      </c>
      <c r="C7" s="39" t="s">
        <v>52</v>
      </c>
      <c r="D7" s="40" t="s">
        <v>131</v>
      </c>
      <c r="E7" s="41" t="s">
        <v>132</v>
      </c>
      <c r="F7" s="39">
        <v>15</v>
      </c>
      <c r="G7" s="40" t="s">
        <v>133</v>
      </c>
      <c r="H7" s="41" t="s">
        <v>134</v>
      </c>
    </row>
    <row r="8" spans="1:8" ht="20.100000000000001" customHeight="1" outlineLevel="1">
      <c r="A8" s="39">
        <v>2</v>
      </c>
      <c r="B8" s="39" t="s">
        <v>21</v>
      </c>
      <c r="C8" s="39" t="s">
        <v>52</v>
      </c>
      <c r="D8" s="40" t="s">
        <v>135</v>
      </c>
      <c r="E8" s="41" t="s">
        <v>136</v>
      </c>
      <c r="F8" s="39">
        <v>7</v>
      </c>
      <c r="G8" s="40" t="s">
        <v>137</v>
      </c>
      <c r="H8" s="41" t="s">
        <v>138</v>
      </c>
    </row>
    <row r="9" spans="1:8" ht="20.100000000000001" customHeight="1" outlineLevel="1">
      <c r="A9" s="39">
        <v>3</v>
      </c>
      <c r="B9" s="39" t="s">
        <v>21</v>
      </c>
      <c r="C9" s="39" t="s">
        <v>52</v>
      </c>
      <c r="D9" s="40" t="s">
        <v>139</v>
      </c>
      <c r="E9" s="41" t="s">
        <v>140</v>
      </c>
      <c r="F9" s="39">
        <v>7</v>
      </c>
      <c r="G9" s="40" t="s">
        <v>141</v>
      </c>
      <c r="H9" s="41" t="s">
        <v>142</v>
      </c>
    </row>
    <row r="10" spans="1:8" outlineLevel="1">
      <c r="A10" s="39">
        <v>4</v>
      </c>
      <c r="B10" s="39" t="s">
        <v>21</v>
      </c>
      <c r="C10" s="39" t="s">
        <v>52</v>
      </c>
      <c r="D10" s="40" t="s">
        <v>143</v>
      </c>
      <c r="E10" s="41" t="s">
        <v>144</v>
      </c>
      <c r="F10" s="39">
        <v>3</v>
      </c>
      <c r="G10" s="40" t="s">
        <v>145</v>
      </c>
      <c r="H10" s="41"/>
    </row>
    <row r="11" spans="1:8" ht="20.100000000000001" customHeight="1" outlineLevel="1">
      <c r="A11" s="39">
        <v>5</v>
      </c>
      <c r="B11" s="39" t="s">
        <v>21</v>
      </c>
      <c r="C11" s="39" t="s">
        <v>57</v>
      </c>
      <c r="D11" s="40" t="s">
        <v>131</v>
      </c>
      <c r="E11" s="41" t="s">
        <v>146</v>
      </c>
      <c r="F11" s="39">
        <v>7</v>
      </c>
      <c r="G11" s="40" t="s">
        <v>133</v>
      </c>
      <c r="H11" s="41" t="s">
        <v>147</v>
      </c>
    </row>
    <row r="12" spans="1:8" ht="20.100000000000001" customHeight="1" outlineLevel="1">
      <c r="A12" s="39">
        <v>6</v>
      </c>
      <c r="B12" s="39" t="s">
        <v>21</v>
      </c>
      <c r="C12" s="39" t="s">
        <v>57</v>
      </c>
      <c r="D12" s="40" t="s">
        <v>135</v>
      </c>
      <c r="E12" s="41" t="s">
        <v>148</v>
      </c>
      <c r="F12" s="39">
        <v>4</v>
      </c>
      <c r="G12" s="40" t="s">
        <v>137</v>
      </c>
      <c r="H12" s="41" t="s">
        <v>138</v>
      </c>
    </row>
    <row r="13" spans="1:8" ht="20.100000000000001" customHeight="1" outlineLevel="1">
      <c r="A13" s="39">
        <v>7</v>
      </c>
      <c r="B13" s="39" t="s">
        <v>21</v>
      </c>
      <c r="C13" s="39" t="s">
        <v>57</v>
      </c>
      <c r="D13" s="40" t="s">
        <v>139</v>
      </c>
      <c r="E13" s="41" t="s">
        <v>149</v>
      </c>
      <c r="F13" s="39">
        <v>4</v>
      </c>
      <c r="G13" s="40" t="s">
        <v>141</v>
      </c>
      <c r="H13" s="41" t="s">
        <v>150</v>
      </c>
    </row>
    <row r="14" spans="1:8" ht="20.100000000000001" customHeight="1" outlineLevel="1">
      <c r="A14" s="39">
        <v>8</v>
      </c>
      <c r="B14" s="39" t="s">
        <v>21</v>
      </c>
      <c r="C14" s="39" t="s">
        <v>57</v>
      </c>
      <c r="D14" s="40" t="s">
        <v>143</v>
      </c>
      <c r="E14" s="41" t="s">
        <v>151</v>
      </c>
      <c r="F14" s="39">
        <v>1</v>
      </c>
      <c r="G14" s="40" t="s">
        <v>145</v>
      </c>
      <c r="H14" s="41"/>
    </row>
    <row r="15" spans="1:8" ht="21.95" customHeight="1">
      <c r="A15" s="61" t="s">
        <v>152</v>
      </c>
      <c r="B15" s="67"/>
      <c r="C15" s="67"/>
      <c r="D15" s="67"/>
      <c r="E15" s="67"/>
      <c r="F15" s="67"/>
      <c r="G15" s="67"/>
      <c r="H15" s="67"/>
    </row>
    <row r="16" spans="1:8" ht="20.100000000000001" customHeight="1" outlineLevel="1">
      <c r="A16" s="39">
        <v>9</v>
      </c>
      <c r="B16" s="39" t="s">
        <v>23</v>
      </c>
      <c r="C16" s="39" t="s">
        <v>64</v>
      </c>
      <c r="D16" s="40" t="s">
        <v>153</v>
      </c>
      <c r="E16" s="41" t="s">
        <v>154</v>
      </c>
      <c r="F16" s="39">
        <v>1</v>
      </c>
      <c r="G16" s="40" t="s">
        <v>145</v>
      </c>
      <c r="H16" s="41"/>
    </row>
    <row r="17" spans="1:8" ht="20.100000000000001" customHeight="1" outlineLevel="1">
      <c r="A17" s="39">
        <v>10</v>
      </c>
      <c r="B17" s="39" t="s">
        <v>23</v>
      </c>
      <c r="C17" s="39" t="s">
        <v>64</v>
      </c>
      <c r="D17" s="40" t="s">
        <v>155</v>
      </c>
      <c r="E17" s="41" t="s">
        <v>156</v>
      </c>
      <c r="F17" s="39">
        <v>3</v>
      </c>
      <c r="G17" s="40"/>
      <c r="H17" s="41" t="s">
        <v>157</v>
      </c>
    </row>
    <row r="18" spans="1:8" ht="20.100000000000001" customHeight="1" outlineLevel="1">
      <c r="A18" s="39">
        <v>11</v>
      </c>
      <c r="B18" s="39" t="s">
        <v>23</v>
      </c>
      <c r="C18" s="39" t="s">
        <v>64</v>
      </c>
      <c r="D18" s="40" t="s">
        <v>158</v>
      </c>
      <c r="E18" s="41" t="s">
        <v>159</v>
      </c>
      <c r="F18" s="39">
        <v>3</v>
      </c>
      <c r="G18" s="40" t="s">
        <v>160</v>
      </c>
      <c r="H18" s="41"/>
    </row>
    <row r="19" spans="1:8" ht="20.100000000000001" customHeight="1" outlineLevel="1">
      <c r="A19" s="39">
        <v>12</v>
      </c>
      <c r="B19" s="39" t="s">
        <v>23</v>
      </c>
      <c r="C19" s="39" t="s">
        <v>67</v>
      </c>
      <c r="D19" s="40" t="s">
        <v>153</v>
      </c>
      <c r="E19" s="41" t="s">
        <v>161</v>
      </c>
      <c r="F19" s="39">
        <v>1</v>
      </c>
      <c r="G19" s="40" t="s">
        <v>145</v>
      </c>
      <c r="H19" s="41"/>
    </row>
    <row r="20" spans="1:8" ht="20.100000000000001" customHeight="1" outlineLevel="1">
      <c r="A20" s="39">
        <v>13</v>
      </c>
      <c r="B20" s="39" t="s">
        <v>23</v>
      </c>
      <c r="C20" s="39" t="s">
        <v>67</v>
      </c>
      <c r="D20" s="40" t="s">
        <v>162</v>
      </c>
      <c r="E20" s="41" t="s">
        <v>163</v>
      </c>
      <c r="F20" s="39">
        <v>1</v>
      </c>
      <c r="G20" s="40" t="s">
        <v>164</v>
      </c>
      <c r="H20" s="41"/>
    </row>
    <row r="21" spans="1:8" ht="20.100000000000001" customHeight="1" outlineLevel="1">
      <c r="A21" s="39">
        <v>14</v>
      </c>
      <c r="B21" s="39" t="s">
        <v>23</v>
      </c>
      <c r="C21" s="39" t="s">
        <v>67</v>
      </c>
      <c r="D21" s="40" t="s">
        <v>155</v>
      </c>
      <c r="E21" s="41" t="s">
        <v>156</v>
      </c>
      <c r="F21" s="39">
        <v>3</v>
      </c>
      <c r="G21" s="40"/>
      <c r="H21" s="41" t="s">
        <v>157</v>
      </c>
    </row>
    <row r="22" spans="1:8" ht="20.100000000000001" customHeight="1" outlineLevel="1">
      <c r="A22" s="39">
        <v>15</v>
      </c>
      <c r="B22" s="39" t="s">
        <v>23</v>
      </c>
      <c r="C22" s="39" t="s">
        <v>67</v>
      </c>
      <c r="D22" s="40" t="s">
        <v>158</v>
      </c>
      <c r="E22" s="41" t="s">
        <v>159</v>
      </c>
      <c r="F22" s="39">
        <v>3</v>
      </c>
      <c r="G22" s="40" t="s">
        <v>160</v>
      </c>
      <c r="H22" s="41"/>
    </row>
    <row r="23" spans="1:8" ht="20.100000000000001" customHeight="1" outlineLevel="1">
      <c r="A23" s="39">
        <v>16</v>
      </c>
      <c r="B23" s="39" t="s">
        <v>23</v>
      </c>
      <c r="C23" s="39" t="s">
        <v>68</v>
      </c>
      <c r="D23" s="40" t="s">
        <v>153</v>
      </c>
      <c r="E23" s="41" t="s">
        <v>165</v>
      </c>
      <c r="F23" s="39">
        <v>2</v>
      </c>
      <c r="G23" s="40" t="s">
        <v>145</v>
      </c>
      <c r="H23" s="41"/>
    </row>
    <row r="24" spans="1:8" ht="20.100000000000001" customHeight="1" outlineLevel="1">
      <c r="A24" s="39">
        <v>17</v>
      </c>
      <c r="B24" s="39" t="s">
        <v>23</v>
      </c>
      <c r="C24" s="39" t="s">
        <v>68</v>
      </c>
      <c r="D24" s="40" t="s">
        <v>162</v>
      </c>
      <c r="E24" s="41" t="s">
        <v>163</v>
      </c>
      <c r="F24" s="39">
        <v>1</v>
      </c>
      <c r="G24" s="40" t="s">
        <v>164</v>
      </c>
      <c r="H24" s="41"/>
    </row>
    <row r="25" spans="1:8" ht="20.100000000000001" customHeight="1" outlineLevel="1">
      <c r="A25" s="39">
        <v>18</v>
      </c>
      <c r="B25" s="39" t="s">
        <v>23</v>
      </c>
      <c r="C25" s="39" t="s">
        <v>68</v>
      </c>
      <c r="D25" s="40" t="s">
        <v>155</v>
      </c>
      <c r="E25" s="41" t="s">
        <v>166</v>
      </c>
      <c r="F25" s="39">
        <v>5</v>
      </c>
      <c r="G25" s="40"/>
      <c r="H25" s="41" t="s">
        <v>157</v>
      </c>
    </row>
    <row r="26" spans="1:8" ht="20.100000000000001" customHeight="1" outlineLevel="1">
      <c r="A26" s="39">
        <v>19</v>
      </c>
      <c r="B26" s="39" t="s">
        <v>23</v>
      </c>
      <c r="C26" s="39" t="s">
        <v>68</v>
      </c>
      <c r="D26" s="40" t="s">
        <v>158</v>
      </c>
      <c r="E26" s="41" t="s">
        <v>167</v>
      </c>
      <c r="F26" s="39">
        <v>5</v>
      </c>
      <c r="G26" s="40" t="s">
        <v>160</v>
      </c>
      <c r="H26" s="41"/>
    </row>
    <row r="27" spans="1:8" ht="20.100000000000001" customHeight="1" outlineLevel="1">
      <c r="A27" s="39">
        <v>20</v>
      </c>
      <c r="B27" s="39" t="s">
        <v>23</v>
      </c>
      <c r="C27" s="39" t="s">
        <v>69</v>
      </c>
      <c r="D27" s="40" t="s">
        <v>153</v>
      </c>
      <c r="E27" s="41" t="s">
        <v>168</v>
      </c>
      <c r="F27" s="39">
        <v>2</v>
      </c>
      <c r="G27" s="40" t="s">
        <v>145</v>
      </c>
      <c r="H27" s="41"/>
    </row>
    <row r="28" spans="1:8" ht="20.100000000000001" customHeight="1" outlineLevel="1">
      <c r="A28" s="39">
        <v>21</v>
      </c>
      <c r="B28" s="39" t="s">
        <v>23</v>
      </c>
      <c r="C28" s="39" t="s">
        <v>69</v>
      </c>
      <c r="D28" s="40" t="s">
        <v>162</v>
      </c>
      <c r="E28" s="41" t="s">
        <v>163</v>
      </c>
      <c r="F28" s="39">
        <v>1</v>
      </c>
      <c r="G28" s="40" t="s">
        <v>164</v>
      </c>
      <c r="H28" s="41"/>
    </row>
    <row r="29" spans="1:8" ht="20.100000000000001" customHeight="1" outlineLevel="1">
      <c r="A29" s="39">
        <v>22</v>
      </c>
      <c r="B29" s="39" t="s">
        <v>23</v>
      </c>
      <c r="C29" s="39" t="s">
        <v>69</v>
      </c>
      <c r="D29" s="40" t="s">
        <v>155</v>
      </c>
      <c r="E29" s="41" t="s">
        <v>166</v>
      </c>
      <c r="F29" s="39">
        <v>5</v>
      </c>
      <c r="G29" s="40"/>
      <c r="H29" s="41" t="s">
        <v>157</v>
      </c>
    </row>
    <row r="30" spans="1:8" ht="20.100000000000001" customHeight="1" outlineLevel="1">
      <c r="A30" s="39">
        <v>23</v>
      </c>
      <c r="B30" s="39" t="s">
        <v>23</v>
      </c>
      <c r="C30" s="39" t="s">
        <v>69</v>
      </c>
      <c r="D30" s="40" t="s">
        <v>158</v>
      </c>
      <c r="E30" s="41" t="s">
        <v>167</v>
      </c>
      <c r="F30" s="39">
        <v>5</v>
      </c>
      <c r="G30" s="40" t="s">
        <v>160</v>
      </c>
      <c r="H30" s="41"/>
    </row>
    <row r="31" spans="1:8" ht="20.100000000000001" customHeight="1" outlineLevel="1">
      <c r="A31" s="39">
        <v>24</v>
      </c>
      <c r="B31" s="39" t="s">
        <v>23</v>
      </c>
      <c r="C31" s="39"/>
      <c r="D31" s="40" t="s">
        <v>169</v>
      </c>
      <c r="E31" s="41" t="s">
        <v>170</v>
      </c>
      <c r="F31" s="39">
        <v>1</v>
      </c>
      <c r="G31" s="40" t="s">
        <v>171</v>
      </c>
      <c r="H31" s="41" t="s">
        <v>172</v>
      </c>
    </row>
    <row r="32" spans="1:8" ht="20.100000000000001" customHeight="1" outlineLevel="1">
      <c r="A32" s="39">
        <v>25</v>
      </c>
      <c r="B32" s="39" t="s">
        <v>23</v>
      </c>
      <c r="C32" s="39"/>
      <c r="D32" s="40" t="s">
        <v>173</v>
      </c>
      <c r="E32" s="41" t="s">
        <v>170</v>
      </c>
      <c r="F32" s="39">
        <v>3</v>
      </c>
      <c r="G32" s="40" t="s">
        <v>137</v>
      </c>
      <c r="H32" s="41" t="s">
        <v>174</v>
      </c>
    </row>
    <row r="33" spans="1:8" ht="20.100000000000001" customHeight="1" outlineLevel="1">
      <c r="A33" s="39">
        <v>26</v>
      </c>
      <c r="B33" s="39" t="s">
        <v>23</v>
      </c>
      <c r="C33" s="39"/>
      <c r="D33" s="40" t="s">
        <v>175</v>
      </c>
      <c r="E33" s="41" t="s">
        <v>170</v>
      </c>
      <c r="F33" s="39">
        <v>8</v>
      </c>
      <c r="G33" s="40" t="s">
        <v>133</v>
      </c>
      <c r="H33" s="41" t="s">
        <v>174</v>
      </c>
    </row>
    <row r="34" spans="1:8" ht="21.95" customHeight="1">
      <c r="A34" s="66" t="s">
        <v>176</v>
      </c>
      <c r="B34" s="67"/>
      <c r="C34" s="67"/>
      <c r="D34" s="67"/>
      <c r="E34" s="67"/>
      <c r="F34" s="67"/>
      <c r="G34" s="67"/>
      <c r="H34" s="67"/>
    </row>
    <row r="35" spans="1:8" ht="20.100000000000001" customHeight="1" outlineLevel="1">
      <c r="A35" s="39">
        <v>27</v>
      </c>
      <c r="B35" s="39" t="s">
        <v>25</v>
      </c>
      <c r="C35" s="39"/>
      <c r="D35" s="40" t="s">
        <v>177</v>
      </c>
      <c r="E35" s="41"/>
      <c r="F35" s="39">
        <v>1</v>
      </c>
      <c r="G35" s="40" t="s">
        <v>178</v>
      </c>
      <c r="H35" s="41" t="s">
        <v>179</v>
      </c>
    </row>
    <row r="36" spans="1:8" ht="20.100000000000001" customHeight="1" outlineLevel="1">
      <c r="A36" s="39">
        <v>28</v>
      </c>
      <c r="B36" s="39" t="s">
        <v>25</v>
      </c>
      <c r="C36" s="39"/>
      <c r="D36" s="40" t="s">
        <v>180</v>
      </c>
      <c r="E36" s="41"/>
      <c r="F36" s="39">
        <v>2</v>
      </c>
      <c r="G36" s="40" t="s">
        <v>181</v>
      </c>
      <c r="H36" s="41"/>
    </row>
    <row r="37" spans="1:8" ht="20.100000000000001" customHeight="1" outlineLevel="1">
      <c r="A37" s="39">
        <v>29</v>
      </c>
      <c r="B37" s="39" t="s">
        <v>25</v>
      </c>
      <c r="C37" s="39"/>
      <c r="D37" s="40" t="s">
        <v>182</v>
      </c>
      <c r="E37" s="41"/>
      <c r="F37" s="39">
        <v>2</v>
      </c>
      <c r="G37" s="40" t="s">
        <v>183</v>
      </c>
      <c r="H37" s="41" t="s">
        <v>184</v>
      </c>
    </row>
    <row r="38" spans="1:8" ht="20.100000000000001" customHeight="1" outlineLevel="1">
      <c r="A38" s="39">
        <v>30</v>
      </c>
      <c r="B38" s="39" t="s">
        <v>25</v>
      </c>
      <c r="C38" s="39"/>
      <c r="D38" s="40" t="s">
        <v>185</v>
      </c>
      <c r="E38" s="41"/>
      <c r="F38" s="39">
        <v>1</v>
      </c>
      <c r="G38" s="40" t="s">
        <v>186</v>
      </c>
      <c r="H38" s="41"/>
    </row>
    <row r="39" spans="1:8" ht="20.100000000000001" customHeight="1" outlineLevel="1">
      <c r="A39" s="39">
        <v>31</v>
      </c>
      <c r="B39" s="39" t="s">
        <v>25</v>
      </c>
      <c r="C39" s="39"/>
      <c r="D39" s="40" t="s">
        <v>187</v>
      </c>
      <c r="E39" s="41"/>
      <c r="F39" s="39">
        <v>1</v>
      </c>
      <c r="G39" s="40" t="s">
        <v>164</v>
      </c>
      <c r="H39" s="41"/>
    </row>
    <row r="40" spans="1:8" ht="20.100000000000001" customHeight="1" outlineLevel="1">
      <c r="A40" s="39">
        <v>32</v>
      </c>
      <c r="B40" s="39" t="s">
        <v>25</v>
      </c>
      <c r="C40" s="39"/>
      <c r="D40" s="40" t="s">
        <v>153</v>
      </c>
      <c r="E40" s="41"/>
      <c r="F40" s="39">
        <v>24</v>
      </c>
      <c r="G40" s="40" t="s">
        <v>188</v>
      </c>
      <c r="H40" s="41"/>
    </row>
    <row r="41" spans="1:8" ht="20.100000000000001" customHeight="1" outlineLevel="1">
      <c r="A41" s="39">
        <v>33</v>
      </c>
      <c r="B41" s="39" t="s">
        <v>25</v>
      </c>
      <c r="C41" s="39"/>
      <c r="D41" s="40" t="s">
        <v>189</v>
      </c>
      <c r="E41" s="41"/>
      <c r="F41" s="39">
        <v>1</v>
      </c>
      <c r="G41" s="40" t="s">
        <v>190</v>
      </c>
      <c r="H41" s="41" t="s">
        <v>191</v>
      </c>
    </row>
    <row r="42" spans="1:8" ht="20.100000000000001" customHeight="1" outlineLevel="1">
      <c r="A42" s="39">
        <v>34</v>
      </c>
      <c r="B42" s="39" t="s">
        <v>25</v>
      </c>
      <c r="C42" s="39"/>
      <c r="D42" s="40" t="s">
        <v>192</v>
      </c>
      <c r="E42" s="41"/>
      <c r="F42" s="39">
        <v>1</v>
      </c>
      <c r="G42" s="40" t="s">
        <v>193</v>
      </c>
      <c r="H42" s="41"/>
    </row>
    <row r="43" spans="1:8" ht="20.100000000000001" customHeight="1" outlineLevel="1">
      <c r="A43" s="39">
        <v>35</v>
      </c>
      <c r="B43" s="39" t="s">
        <v>25</v>
      </c>
      <c r="C43" s="39"/>
      <c r="D43" s="40" t="s">
        <v>194</v>
      </c>
      <c r="E43" s="41"/>
      <c r="F43" s="39">
        <v>1</v>
      </c>
      <c r="G43" s="40" t="s">
        <v>195</v>
      </c>
      <c r="H43" s="41"/>
    </row>
    <row r="44" spans="1:8" ht="20.100000000000001" customHeight="1" outlineLevel="1">
      <c r="A44" s="39">
        <v>36</v>
      </c>
      <c r="B44" s="39" t="s">
        <v>25</v>
      </c>
      <c r="C44" s="39"/>
      <c r="D44" s="40" t="s">
        <v>196</v>
      </c>
      <c r="E44" s="41"/>
      <c r="F44" s="39">
        <v>1</v>
      </c>
      <c r="G44" s="40" t="s">
        <v>197</v>
      </c>
      <c r="H44" s="41"/>
    </row>
    <row r="45" spans="1:8" ht="20.100000000000001" customHeight="1" outlineLevel="1">
      <c r="A45" s="39">
        <v>37</v>
      </c>
      <c r="B45" s="39" t="s">
        <v>25</v>
      </c>
      <c r="C45" s="39"/>
      <c r="D45" s="40" t="s">
        <v>198</v>
      </c>
      <c r="E45" s="41"/>
      <c r="F45" s="39">
        <v>4</v>
      </c>
      <c r="G45" s="40" t="s">
        <v>199</v>
      </c>
      <c r="H45" s="41"/>
    </row>
    <row r="46" spans="1:8" ht="20.100000000000001" customHeight="1" outlineLevel="1">
      <c r="A46" s="39">
        <v>38</v>
      </c>
      <c r="B46" s="39" t="s">
        <v>25</v>
      </c>
      <c r="C46" s="39"/>
      <c r="D46" s="40" t="s">
        <v>200</v>
      </c>
      <c r="E46" s="41"/>
      <c r="F46" s="39">
        <v>1</v>
      </c>
      <c r="G46" s="40" t="s">
        <v>201</v>
      </c>
      <c r="H46" s="41"/>
    </row>
    <row r="47" spans="1:8" ht="20.100000000000001" customHeight="1" outlineLevel="1">
      <c r="A47" s="39">
        <v>39</v>
      </c>
      <c r="B47" s="39" t="s">
        <v>25</v>
      </c>
      <c r="C47" s="39"/>
      <c r="D47" s="40" t="s">
        <v>202</v>
      </c>
      <c r="E47" s="41"/>
      <c r="F47" s="39">
        <v>1</v>
      </c>
      <c r="G47" s="40" t="s">
        <v>203</v>
      </c>
      <c r="H47" s="41"/>
    </row>
    <row r="48" spans="1:8" ht="20.100000000000001" customHeight="1" outlineLevel="1">
      <c r="A48" s="39">
        <v>40</v>
      </c>
      <c r="B48" s="39" t="s">
        <v>25</v>
      </c>
      <c r="C48" s="39"/>
      <c r="D48" s="40" t="s">
        <v>204</v>
      </c>
      <c r="E48" s="41"/>
      <c r="F48" s="39">
        <v>1</v>
      </c>
      <c r="G48" s="40" t="s">
        <v>205</v>
      </c>
      <c r="H48" s="41" t="s">
        <v>206</v>
      </c>
    </row>
    <row r="49" spans="1:8" ht="20.100000000000001" customHeight="1" outlineLevel="1">
      <c r="A49" s="39">
        <v>41</v>
      </c>
      <c r="B49" s="39" t="s">
        <v>25</v>
      </c>
      <c r="C49" s="39"/>
      <c r="D49" s="40" t="s">
        <v>207</v>
      </c>
      <c r="E49" s="41"/>
      <c r="F49" s="39">
        <v>1</v>
      </c>
      <c r="G49" s="40" t="s">
        <v>208</v>
      </c>
      <c r="H49" s="41"/>
    </row>
    <row r="50" spans="1:8" ht="20.100000000000001" customHeight="1" outlineLevel="1">
      <c r="A50" s="39">
        <v>42</v>
      </c>
      <c r="B50" s="39" t="s">
        <v>25</v>
      </c>
      <c r="C50" s="39"/>
      <c r="D50" s="40" t="s">
        <v>209</v>
      </c>
      <c r="E50" s="41"/>
      <c r="F50" s="39">
        <v>1</v>
      </c>
      <c r="G50" s="40" t="s">
        <v>210</v>
      </c>
      <c r="H50" s="41"/>
    </row>
    <row r="51" spans="1:8" ht="20.100000000000001" customHeight="1" outlineLevel="1">
      <c r="A51" s="39">
        <v>43</v>
      </c>
      <c r="B51" s="39" t="s">
        <v>25</v>
      </c>
      <c r="C51" s="39"/>
      <c r="D51" s="40" t="s">
        <v>211</v>
      </c>
      <c r="E51" s="41"/>
      <c r="F51" s="39">
        <v>1</v>
      </c>
      <c r="G51" s="40" t="s">
        <v>212</v>
      </c>
      <c r="H51" s="41"/>
    </row>
    <row r="52" spans="1:8" ht="20.100000000000001" customHeight="1" outlineLevel="1">
      <c r="A52" s="39">
        <v>44</v>
      </c>
      <c r="B52" s="39" t="s">
        <v>25</v>
      </c>
      <c r="C52" s="39"/>
      <c r="D52" s="40" t="s">
        <v>213</v>
      </c>
      <c r="E52" s="41"/>
      <c r="F52" s="39">
        <v>1</v>
      </c>
      <c r="G52" s="40" t="s">
        <v>214</v>
      </c>
      <c r="H52" s="41"/>
    </row>
    <row r="53" spans="1:8" ht="20.100000000000001" customHeight="1" outlineLevel="1">
      <c r="A53" s="39">
        <v>45</v>
      </c>
      <c r="B53" s="39" t="s">
        <v>25</v>
      </c>
      <c r="C53" s="39"/>
      <c r="D53" s="40" t="s">
        <v>173</v>
      </c>
      <c r="E53" s="41"/>
      <c r="F53" s="39">
        <v>13</v>
      </c>
      <c r="G53" s="40" t="s">
        <v>215</v>
      </c>
      <c r="H53" s="41"/>
    </row>
    <row r="54" spans="1:8" ht="20.100000000000001" customHeight="1" outlineLevel="1">
      <c r="A54" s="39">
        <v>46</v>
      </c>
      <c r="B54" s="39" t="s">
        <v>25</v>
      </c>
      <c r="C54" s="39"/>
      <c r="D54" s="40" t="s">
        <v>216</v>
      </c>
      <c r="E54" s="41"/>
      <c r="F54" s="39">
        <v>37</v>
      </c>
      <c r="G54" s="40" t="s">
        <v>217</v>
      </c>
      <c r="H54" s="41" t="s">
        <v>184</v>
      </c>
    </row>
    <row r="55" spans="1:8" ht="20.100000000000001" customHeight="1" outlineLevel="1">
      <c r="A55" s="39">
        <v>47</v>
      </c>
      <c r="B55" s="39" t="s">
        <v>25</v>
      </c>
      <c r="C55" s="39"/>
      <c r="D55" s="40" t="s">
        <v>158</v>
      </c>
      <c r="E55" s="41"/>
      <c r="F55" s="39">
        <v>3</v>
      </c>
      <c r="G55" s="40" t="s">
        <v>160</v>
      </c>
      <c r="H55" s="41"/>
    </row>
    <row r="56" spans="1:8" ht="20.100000000000001" customHeight="1" outlineLevel="1">
      <c r="A56" s="39">
        <v>48</v>
      </c>
      <c r="B56" s="39" t="s">
        <v>25</v>
      </c>
      <c r="C56" s="39"/>
      <c r="D56" s="40" t="s">
        <v>218</v>
      </c>
      <c r="E56" s="41"/>
      <c r="F56" s="39">
        <v>1</v>
      </c>
      <c r="G56" s="40" t="s">
        <v>219</v>
      </c>
      <c r="H56" s="41"/>
    </row>
    <row r="57" spans="1:8" ht="20.100000000000001" customHeight="1" outlineLevel="1">
      <c r="A57" s="39">
        <v>49</v>
      </c>
      <c r="B57" s="39" t="s">
        <v>25</v>
      </c>
      <c r="C57" s="39"/>
      <c r="D57" s="40" t="s">
        <v>220</v>
      </c>
      <c r="E57" s="41"/>
      <c r="F57" s="39">
        <v>1</v>
      </c>
      <c r="G57" s="40" t="s">
        <v>221</v>
      </c>
      <c r="H57" s="41" t="s">
        <v>222</v>
      </c>
    </row>
    <row r="58" spans="1:8" ht="21.95" customHeight="1">
      <c r="A58" s="63" t="s">
        <v>223</v>
      </c>
      <c r="B58" s="67"/>
      <c r="C58" s="67"/>
      <c r="D58" s="67"/>
      <c r="E58" s="67"/>
      <c r="F58" s="67"/>
      <c r="G58" s="67"/>
      <c r="H58" s="67"/>
    </row>
    <row r="59" spans="1:8" ht="20.100000000000001" customHeight="1" outlineLevel="1">
      <c r="A59" s="39">
        <v>50</v>
      </c>
      <c r="B59" s="39" t="s">
        <v>28</v>
      </c>
      <c r="C59" s="39"/>
      <c r="D59" s="40" t="s">
        <v>177</v>
      </c>
      <c r="E59" s="41"/>
      <c r="F59" s="39">
        <v>1</v>
      </c>
      <c r="G59" s="40" t="s">
        <v>178</v>
      </c>
      <c r="H59" s="41" t="s">
        <v>224</v>
      </c>
    </row>
    <row r="60" spans="1:8" ht="20.100000000000001" customHeight="1" outlineLevel="1">
      <c r="A60" s="39">
        <v>51</v>
      </c>
      <c r="B60" s="39" t="s">
        <v>28</v>
      </c>
      <c r="C60" s="39"/>
      <c r="D60" s="40" t="s">
        <v>182</v>
      </c>
      <c r="E60" s="41"/>
      <c r="F60" s="39">
        <v>2</v>
      </c>
      <c r="G60" s="40" t="s">
        <v>225</v>
      </c>
      <c r="H60" s="41" t="s">
        <v>226</v>
      </c>
    </row>
    <row r="61" spans="1:8" ht="20.100000000000001" customHeight="1" outlineLevel="1">
      <c r="A61" s="39">
        <v>52</v>
      </c>
      <c r="B61" s="39" t="s">
        <v>28</v>
      </c>
      <c r="C61" s="39"/>
      <c r="D61" s="40" t="s">
        <v>227</v>
      </c>
      <c r="E61" s="41"/>
      <c r="F61" s="39">
        <v>1</v>
      </c>
      <c r="G61" s="40" t="s">
        <v>228</v>
      </c>
      <c r="H61" s="41" t="s">
        <v>229</v>
      </c>
    </row>
    <row r="62" spans="1:8" ht="20.100000000000001" customHeight="1" outlineLevel="1">
      <c r="A62" s="39">
        <v>53</v>
      </c>
      <c r="B62" s="39" t="s">
        <v>28</v>
      </c>
      <c r="C62" s="39"/>
      <c r="D62" s="40" t="s">
        <v>185</v>
      </c>
      <c r="E62" s="41"/>
      <c r="F62" s="39">
        <v>1</v>
      </c>
      <c r="G62" s="40" t="s">
        <v>230</v>
      </c>
      <c r="H62" s="41" t="s">
        <v>226</v>
      </c>
    </row>
    <row r="63" spans="1:8" ht="20.100000000000001" customHeight="1" outlineLevel="1">
      <c r="A63" s="39">
        <v>54</v>
      </c>
      <c r="B63" s="39" t="s">
        <v>28</v>
      </c>
      <c r="C63" s="39"/>
      <c r="D63" s="40" t="s">
        <v>231</v>
      </c>
      <c r="E63" s="41"/>
      <c r="F63" s="39">
        <v>1</v>
      </c>
      <c r="G63" s="40" t="s">
        <v>232</v>
      </c>
      <c r="H63" s="41" t="s">
        <v>229</v>
      </c>
    </row>
    <row r="64" spans="1:8" ht="20.100000000000001" customHeight="1" outlineLevel="1">
      <c r="A64" s="39">
        <v>55</v>
      </c>
      <c r="B64" s="39" t="s">
        <v>28</v>
      </c>
      <c r="C64" s="39"/>
      <c r="D64" s="40" t="s">
        <v>153</v>
      </c>
      <c r="E64" s="41"/>
      <c r="F64" s="39">
        <v>5</v>
      </c>
      <c r="G64" s="40" t="s">
        <v>188</v>
      </c>
      <c r="H64" s="41" t="s">
        <v>226</v>
      </c>
    </row>
    <row r="65" spans="1:8" ht="20.100000000000001" customHeight="1" outlineLevel="1">
      <c r="A65" s="39">
        <v>56</v>
      </c>
      <c r="B65" s="39" t="s">
        <v>28</v>
      </c>
      <c r="C65" s="39"/>
      <c r="D65" s="40" t="s">
        <v>192</v>
      </c>
      <c r="E65" s="41"/>
      <c r="F65" s="39">
        <v>3</v>
      </c>
      <c r="G65" s="40" t="s">
        <v>193</v>
      </c>
      <c r="H65" s="41" t="s">
        <v>226</v>
      </c>
    </row>
    <row r="66" spans="1:8" ht="20.100000000000001" customHeight="1" outlineLevel="1">
      <c r="A66" s="39">
        <v>57</v>
      </c>
      <c r="B66" s="39" t="s">
        <v>28</v>
      </c>
      <c r="C66" s="39"/>
      <c r="D66" s="40" t="s">
        <v>233</v>
      </c>
      <c r="E66" s="41"/>
      <c r="F66" s="39">
        <v>1</v>
      </c>
      <c r="G66" s="40" t="s">
        <v>234</v>
      </c>
      <c r="H66" s="41" t="s">
        <v>229</v>
      </c>
    </row>
    <row r="67" spans="1:8" ht="20.100000000000001" customHeight="1" outlineLevel="1">
      <c r="A67" s="39">
        <v>58</v>
      </c>
      <c r="B67" s="39" t="s">
        <v>28</v>
      </c>
      <c r="C67" s="39"/>
      <c r="D67" s="40" t="s">
        <v>207</v>
      </c>
      <c r="E67" s="41"/>
      <c r="F67" s="39">
        <v>1</v>
      </c>
      <c r="G67" s="40" t="s">
        <v>235</v>
      </c>
      <c r="H67" s="41" t="s">
        <v>226</v>
      </c>
    </row>
    <row r="68" spans="1:8" ht="20.100000000000001" customHeight="1" outlineLevel="1">
      <c r="A68" s="39">
        <v>59</v>
      </c>
      <c r="B68" s="39" t="s">
        <v>28</v>
      </c>
      <c r="C68" s="39"/>
      <c r="D68" s="40" t="s">
        <v>216</v>
      </c>
      <c r="E68" s="41"/>
      <c r="F68" s="39">
        <v>19</v>
      </c>
      <c r="G68" s="40" t="s">
        <v>236</v>
      </c>
      <c r="H68" s="41" t="s">
        <v>226</v>
      </c>
    </row>
    <row r="69" spans="1:8" ht="20.100000000000001" customHeight="1" outlineLevel="1">
      <c r="A69" s="39">
        <v>60</v>
      </c>
      <c r="B69" s="39" t="s">
        <v>28</v>
      </c>
      <c r="C69" s="39"/>
      <c r="D69" s="40" t="s">
        <v>173</v>
      </c>
      <c r="E69" s="41"/>
      <c r="F69" s="39">
        <v>7</v>
      </c>
      <c r="G69" s="40" t="s">
        <v>237</v>
      </c>
      <c r="H69" s="41" t="s">
        <v>226</v>
      </c>
    </row>
    <row r="70" spans="1:8" ht="20.100000000000001" customHeight="1" outlineLevel="1">
      <c r="A70" s="39">
        <v>61</v>
      </c>
      <c r="B70" s="39" t="s">
        <v>28</v>
      </c>
      <c r="C70" s="39"/>
      <c r="D70" s="40" t="s">
        <v>158</v>
      </c>
      <c r="E70" s="41"/>
      <c r="F70" s="39">
        <v>2</v>
      </c>
      <c r="G70" s="40" t="s">
        <v>160</v>
      </c>
      <c r="H70" s="41" t="s">
        <v>226</v>
      </c>
    </row>
    <row r="71" spans="1:8" ht="20.100000000000001" customHeight="1" outlineLevel="1">
      <c r="A71" s="39">
        <v>62</v>
      </c>
      <c r="B71" s="39" t="s">
        <v>28</v>
      </c>
      <c r="C71" s="39"/>
      <c r="D71" s="40" t="s">
        <v>218</v>
      </c>
      <c r="E71" s="41"/>
      <c r="F71" s="39">
        <v>1</v>
      </c>
      <c r="G71" s="40" t="s">
        <v>238</v>
      </c>
      <c r="H71" s="41" t="s">
        <v>239</v>
      </c>
    </row>
    <row r="72" spans="1:8">
      <c r="A72" s="42"/>
      <c r="B72" s="42"/>
      <c r="C72" s="42"/>
      <c r="D72" s="42"/>
      <c r="E72" s="42"/>
      <c r="F72" s="42"/>
      <c r="G72" s="42"/>
      <c r="H72" s="42"/>
    </row>
    <row r="73" spans="1:8">
      <c r="A73" s="42"/>
      <c r="B73" s="42"/>
      <c r="C73" s="42"/>
      <c r="D73" s="42"/>
      <c r="E73" s="42"/>
      <c r="F73" s="42"/>
      <c r="G73" s="42"/>
      <c r="H73" s="42"/>
    </row>
    <row r="74" spans="1:8">
      <c r="A74" s="42"/>
      <c r="B74" s="42"/>
      <c r="C74" s="42"/>
      <c r="D74" s="42"/>
      <c r="E74" s="42"/>
      <c r="F74" s="42"/>
      <c r="G74" s="42"/>
      <c r="H74" s="42"/>
    </row>
    <row r="75" spans="1:8">
      <c r="A75" s="42"/>
      <c r="B75" s="42"/>
      <c r="C75" s="42"/>
      <c r="D75" s="42"/>
      <c r="E75" s="42"/>
      <c r="F75" s="42"/>
      <c r="G75" s="42"/>
      <c r="H75" s="42"/>
    </row>
    <row r="76" spans="1:8">
      <c r="A76" s="42"/>
      <c r="B76" s="42"/>
      <c r="C76" s="42"/>
      <c r="D76" s="42"/>
      <c r="E76" s="42"/>
      <c r="F76" s="42"/>
      <c r="G76" s="42"/>
      <c r="H76" s="42"/>
    </row>
    <row r="77" spans="1:8">
      <c r="A77" s="42"/>
      <c r="B77" s="42"/>
      <c r="C77" s="42"/>
      <c r="D77" s="42"/>
      <c r="E77" s="42"/>
      <c r="F77" s="42"/>
      <c r="G77" s="42"/>
      <c r="H77" s="42"/>
    </row>
    <row r="78" spans="1:8">
      <c r="A78" s="42"/>
      <c r="B78" s="42"/>
      <c r="C78" s="42"/>
      <c r="D78" s="42"/>
      <c r="E78" s="42"/>
      <c r="F78" s="42"/>
      <c r="G78" s="42"/>
      <c r="H78" s="42"/>
    </row>
    <row r="79" spans="1:8">
      <c r="A79" s="42"/>
      <c r="B79" s="42"/>
      <c r="C79" s="42"/>
      <c r="D79" s="42"/>
      <c r="E79" s="42"/>
      <c r="F79" s="42"/>
      <c r="G79" s="42"/>
      <c r="H79" s="42"/>
    </row>
    <row r="80" spans="1:8">
      <c r="A80" s="42"/>
      <c r="B80" s="42"/>
      <c r="C80" s="42"/>
      <c r="D80" s="42"/>
      <c r="E80" s="42"/>
      <c r="F80" s="42"/>
      <c r="G80" s="42"/>
      <c r="H80" s="42"/>
    </row>
    <row r="81" spans="1:8">
      <c r="A81" s="42"/>
      <c r="B81" s="42"/>
      <c r="C81" s="42"/>
      <c r="D81" s="42"/>
      <c r="E81" s="42"/>
      <c r="F81" s="42"/>
      <c r="G81" s="42"/>
      <c r="H81" s="42"/>
    </row>
    <row r="82" spans="1:8">
      <c r="A82" s="42"/>
      <c r="B82" s="42"/>
      <c r="C82" s="42"/>
      <c r="D82" s="42"/>
      <c r="E82" s="42"/>
      <c r="F82" s="42"/>
      <c r="G82" s="42"/>
      <c r="H82" s="42"/>
    </row>
    <row r="83" spans="1:8">
      <c r="A83" s="42"/>
      <c r="B83" s="42"/>
      <c r="C83" s="42"/>
      <c r="D83" s="42"/>
      <c r="E83" s="42"/>
      <c r="F83" s="42"/>
      <c r="G83" s="42"/>
      <c r="H83" s="42"/>
    </row>
    <row r="84" spans="1:8">
      <c r="A84" s="42"/>
      <c r="B84" s="42"/>
      <c r="C84" s="42"/>
      <c r="D84" s="42"/>
      <c r="E84" s="42"/>
      <c r="F84" s="42"/>
      <c r="G84" s="42"/>
      <c r="H84" s="42"/>
    </row>
    <row r="85" spans="1:8">
      <c r="A85" s="42"/>
      <c r="B85" s="42"/>
      <c r="C85" s="42"/>
      <c r="D85" s="42"/>
      <c r="E85" s="42"/>
      <c r="F85" s="42"/>
      <c r="G85" s="42"/>
      <c r="H85" s="42"/>
    </row>
    <row r="86" spans="1:8">
      <c r="A86" s="42"/>
      <c r="B86" s="42"/>
      <c r="C86" s="42"/>
      <c r="D86" s="42"/>
      <c r="E86" s="42"/>
      <c r="F86" s="42"/>
      <c r="G86" s="42"/>
      <c r="H86" s="42"/>
    </row>
    <row r="87" spans="1:8">
      <c r="A87" s="42"/>
      <c r="B87" s="42"/>
      <c r="C87" s="42"/>
      <c r="D87" s="42"/>
      <c r="E87" s="42"/>
      <c r="F87" s="42"/>
      <c r="G87" s="42"/>
      <c r="H87" s="42"/>
    </row>
    <row r="88" spans="1:8">
      <c r="A88" s="42"/>
      <c r="B88" s="42"/>
      <c r="C88" s="42"/>
      <c r="D88" s="42"/>
      <c r="E88" s="42"/>
      <c r="F88" s="42"/>
      <c r="G88" s="42"/>
      <c r="H88" s="42"/>
    </row>
    <row r="89" spans="1:8">
      <c r="A89" s="42"/>
      <c r="B89" s="42"/>
      <c r="C89" s="42"/>
      <c r="D89" s="42"/>
      <c r="E89" s="42"/>
      <c r="F89" s="42"/>
      <c r="G89" s="42"/>
      <c r="H89" s="42"/>
    </row>
    <row r="90" spans="1:8">
      <c r="A90" s="42"/>
      <c r="B90" s="42"/>
      <c r="C90" s="42"/>
      <c r="D90" s="42"/>
      <c r="E90" s="42"/>
      <c r="F90" s="42"/>
      <c r="G90" s="42"/>
      <c r="H90" s="42"/>
    </row>
    <row r="91" spans="1:8">
      <c r="A91" s="42"/>
      <c r="B91" s="42"/>
      <c r="C91" s="42"/>
      <c r="D91" s="42"/>
      <c r="E91" s="42"/>
      <c r="F91" s="42"/>
      <c r="G91" s="42"/>
      <c r="H91" s="42"/>
    </row>
    <row r="92" spans="1:8">
      <c r="A92" s="42"/>
      <c r="B92" s="42"/>
      <c r="C92" s="42"/>
      <c r="D92" s="42"/>
      <c r="E92" s="42"/>
      <c r="F92" s="42"/>
      <c r="G92" s="42"/>
      <c r="H92" s="42"/>
    </row>
    <row r="93" spans="1:8">
      <c r="A93" s="42"/>
      <c r="B93" s="42"/>
      <c r="C93" s="42"/>
      <c r="D93" s="42"/>
      <c r="E93" s="42"/>
      <c r="F93" s="42"/>
      <c r="G93" s="42"/>
      <c r="H93" s="42"/>
    </row>
    <row r="94" spans="1:8">
      <c r="A94" s="42"/>
      <c r="B94" s="42"/>
      <c r="C94" s="42"/>
      <c r="D94" s="42"/>
      <c r="E94" s="42"/>
      <c r="F94" s="42"/>
      <c r="G94" s="42"/>
      <c r="H94" s="42"/>
    </row>
    <row r="95" spans="1:8">
      <c r="A95" s="42"/>
      <c r="B95" s="42"/>
      <c r="C95" s="42"/>
      <c r="D95" s="42"/>
      <c r="E95" s="42"/>
      <c r="F95" s="42"/>
      <c r="G95" s="42"/>
      <c r="H95" s="42"/>
    </row>
    <row r="96" spans="1:8">
      <c r="A96" s="42"/>
      <c r="B96" s="42"/>
      <c r="C96" s="42"/>
      <c r="D96" s="42"/>
      <c r="E96" s="42"/>
      <c r="F96" s="42"/>
      <c r="G96" s="42"/>
      <c r="H96" s="42"/>
    </row>
    <row r="97" spans="1:8">
      <c r="A97" s="42"/>
      <c r="B97" s="42"/>
      <c r="C97" s="42"/>
      <c r="D97" s="42"/>
      <c r="E97" s="42"/>
      <c r="F97" s="42"/>
      <c r="G97" s="42"/>
      <c r="H97" s="42"/>
    </row>
    <row r="98" spans="1:8">
      <c r="A98" s="42"/>
      <c r="B98" s="42"/>
      <c r="C98" s="42"/>
      <c r="D98" s="42"/>
      <c r="E98" s="42"/>
      <c r="F98" s="42"/>
      <c r="G98" s="42"/>
      <c r="H98" s="42"/>
    </row>
    <row r="99" spans="1:8">
      <c r="A99" s="42"/>
      <c r="B99" s="42"/>
      <c r="C99" s="42"/>
      <c r="D99" s="42"/>
      <c r="E99" s="42"/>
      <c r="F99" s="42"/>
      <c r="G99" s="42"/>
      <c r="H99" s="42"/>
    </row>
    <row r="100" spans="1:8">
      <c r="A100" s="42"/>
      <c r="B100" s="42"/>
      <c r="C100" s="42"/>
      <c r="D100" s="42"/>
      <c r="E100" s="42"/>
      <c r="F100" s="42"/>
      <c r="G100" s="42"/>
      <c r="H100" s="42"/>
    </row>
    <row r="101" spans="1:8">
      <c r="A101" s="42"/>
      <c r="B101" s="42"/>
      <c r="C101" s="42"/>
      <c r="D101" s="42"/>
      <c r="E101" s="42"/>
      <c r="F101" s="42"/>
      <c r="G101" s="42"/>
      <c r="H101" s="42"/>
    </row>
    <row r="102" spans="1:8">
      <c r="A102" s="42"/>
      <c r="B102" s="42"/>
      <c r="C102" s="42"/>
      <c r="D102" s="42"/>
      <c r="E102" s="42"/>
      <c r="F102" s="42"/>
      <c r="G102" s="42"/>
      <c r="H102" s="42"/>
    </row>
    <row r="103" spans="1:8">
      <c r="A103" s="42"/>
      <c r="B103" s="42"/>
      <c r="C103" s="42"/>
      <c r="D103" s="42"/>
      <c r="E103" s="42"/>
      <c r="F103" s="42"/>
      <c r="G103" s="42"/>
      <c r="H103" s="42"/>
    </row>
    <row r="104" spans="1:8">
      <c r="A104" s="42"/>
      <c r="B104" s="42"/>
      <c r="C104" s="42"/>
      <c r="D104" s="42"/>
      <c r="E104" s="42"/>
      <c r="F104" s="42"/>
      <c r="G104" s="42"/>
      <c r="H104" s="42"/>
    </row>
    <row r="105" spans="1:8">
      <c r="A105" s="42"/>
      <c r="B105" s="42"/>
      <c r="C105" s="42"/>
      <c r="D105" s="42"/>
      <c r="E105" s="42"/>
      <c r="F105" s="42"/>
      <c r="G105" s="42"/>
      <c r="H105" s="42"/>
    </row>
    <row r="106" spans="1:8">
      <c r="A106" s="42"/>
      <c r="B106" s="42"/>
      <c r="C106" s="42"/>
      <c r="D106" s="42"/>
      <c r="E106" s="42"/>
      <c r="F106" s="42"/>
      <c r="G106" s="42"/>
      <c r="H106" s="42"/>
    </row>
    <row r="107" spans="1:8">
      <c r="A107" s="42"/>
      <c r="B107" s="42"/>
      <c r="C107" s="42"/>
      <c r="D107" s="42"/>
      <c r="E107" s="42"/>
      <c r="F107" s="42"/>
      <c r="G107" s="42"/>
      <c r="H107" s="42"/>
    </row>
    <row r="108" spans="1:8">
      <c r="A108" s="42"/>
      <c r="B108" s="42"/>
      <c r="C108" s="42"/>
      <c r="D108" s="42"/>
      <c r="E108" s="42"/>
      <c r="F108" s="42"/>
      <c r="G108" s="42"/>
      <c r="H108" s="42"/>
    </row>
    <row r="109" spans="1:8">
      <c r="A109" s="42"/>
      <c r="B109" s="42"/>
      <c r="C109" s="42"/>
      <c r="D109" s="42"/>
      <c r="E109" s="42"/>
      <c r="F109" s="42"/>
      <c r="G109" s="42"/>
      <c r="H109" s="42"/>
    </row>
    <row r="110" spans="1:8">
      <c r="A110" s="42"/>
      <c r="B110" s="42"/>
      <c r="C110" s="42"/>
      <c r="D110" s="42"/>
      <c r="E110" s="42"/>
      <c r="F110" s="42"/>
      <c r="G110" s="42"/>
      <c r="H110" s="42"/>
    </row>
    <row r="111" spans="1:8">
      <c r="A111" s="42"/>
      <c r="B111" s="42"/>
      <c r="C111" s="42"/>
      <c r="D111" s="42"/>
      <c r="E111" s="42"/>
      <c r="F111" s="42"/>
      <c r="G111" s="42"/>
      <c r="H111" s="42"/>
    </row>
    <row r="112" spans="1:8">
      <c r="A112" s="42"/>
      <c r="B112" s="42"/>
      <c r="C112" s="42"/>
      <c r="D112" s="42"/>
      <c r="E112" s="42"/>
      <c r="F112" s="42"/>
      <c r="G112" s="42"/>
      <c r="H112" s="42"/>
    </row>
    <row r="113" spans="1:8">
      <c r="A113" s="42"/>
      <c r="B113" s="42"/>
      <c r="C113" s="42"/>
      <c r="D113" s="42"/>
      <c r="E113" s="42"/>
      <c r="F113" s="42"/>
      <c r="G113" s="42"/>
      <c r="H113" s="42"/>
    </row>
    <row r="114" spans="1:8">
      <c r="A114" s="42"/>
      <c r="B114" s="42"/>
      <c r="C114" s="42"/>
      <c r="D114" s="42"/>
      <c r="E114" s="42"/>
      <c r="F114" s="42"/>
      <c r="G114" s="42"/>
      <c r="H114" s="42"/>
    </row>
    <row r="115" spans="1:8">
      <c r="A115" s="42"/>
      <c r="B115" s="42"/>
      <c r="C115" s="42"/>
      <c r="D115" s="42"/>
      <c r="E115" s="42"/>
      <c r="F115" s="42"/>
      <c r="G115" s="42"/>
      <c r="H115" s="42"/>
    </row>
    <row r="116" spans="1:8">
      <c r="A116" s="42"/>
      <c r="B116" s="42"/>
      <c r="C116" s="42"/>
      <c r="D116" s="42"/>
      <c r="E116" s="42"/>
      <c r="F116" s="42"/>
      <c r="G116" s="42"/>
      <c r="H116" s="42"/>
    </row>
    <row r="117" spans="1:8">
      <c r="A117" s="42"/>
      <c r="B117" s="42"/>
      <c r="C117" s="42"/>
      <c r="D117" s="42"/>
      <c r="E117" s="42"/>
      <c r="F117" s="42"/>
      <c r="G117" s="42"/>
      <c r="H117" s="42"/>
    </row>
    <row r="118" spans="1:8">
      <c r="A118" s="42"/>
      <c r="B118" s="42"/>
      <c r="C118" s="42"/>
      <c r="D118" s="42"/>
      <c r="E118" s="42"/>
      <c r="F118" s="42"/>
      <c r="G118" s="42"/>
      <c r="H118" s="42"/>
    </row>
    <row r="119" spans="1:8">
      <c r="A119" s="42"/>
      <c r="B119" s="42"/>
      <c r="C119" s="42"/>
      <c r="D119" s="42"/>
      <c r="E119" s="42"/>
      <c r="F119" s="42"/>
      <c r="G119" s="42"/>
      <c r="H119" s="42"/>
    </row>
    <row r="120" spans="1:8">
      <c r="A120" s="42"/>
      <c r="B120" s="42"/>
      <c r="C120" s="42"/>
      <c r="D120" s="42"/>
      <c r="E120" s="42"/>
      <c r="F120" s="42"/>
      <c r="G120" s="42"/>
      <c r="H120" s="42"/>
    </row>
    <row r="121" spans="1:8">
      <c r="A121" s="42"/>
      <c r="B121" s="42"/>
      <c r="C121" s="42"/>
      <c r="D121" s="42"/>
      <c r="E121" s="42"/>
      <c r="F121" s="42"/>
      <c r="G121" s="42"/>
      <c r="H121" s="42"/>
    </row>
    <row r="122" spans="1:8">
      <c r="A122" s="42"/>
      <c r="B122" s="42"/>
      <c r="C122" s="42"/>
      <c r="D122" s="42"/>
      <c r="E122" s="42"/>
      <c r="F122" s="42"/>
      <c r="G122" s="42"/>
      <c r="H122" s="42"/>
    </row>
    <row r="123" spans="1:8">
      <c r="A123" s="42"/>
      <c r="B123" s="42"/>
      <c r="C123" s="42"/>
      <c r="D123" s="42"/>
      <c r="E123" s="42"/>
      <c r="F123" s="42"/>
      <c r="G123" s="42"/>
      <c r="H123" s="42"/>
    </row>
    <row r="124" spans="1:8">
      <c r="A124" s="42"/>
      <c r="B124" s="42"/>
      <c r="C124" s="42"/>
      <c r="D124" s="42"/>
      <c r="E124" s="42"/>
      <c r="F124" s="42"/>
      <c r="G124" s="42"/>
      <c r="H124" s="42"/>
    </row>
    <row r="125" spans="1:8">
      <c r="A125" s="42"/>
      <c r="B125" s="42"/>
      <c r="C125" s="42"/>
      <c r="D125" s="42"/>
      <c r="E125" s="42"/>
      <c r="F125" s="42"/>
      <c r="G125" s="42"/>
      <c r="H125" s="42"/>
    </row>
    <row r="126" spans="1:8">
      <c r="A126" s="42"/>
      <c r="B126" s="42"/>
      <c r="C126" s="42"/>
      <c r="D126" s="42"/>
      <c r="E126" s="42"/>
      <c r="F126" s="42"/>
      <c r="G126" s="42"/>
      <c r="H126" s="42"/>
    </row>
    <row r="127" spans="1:8">
      <c r="A127" s="42"/>
      <c r="B127" s="42"/>
      <c r="C127" s="42"/>
      <c r="D127" s="42"/>
      <c r="E127" s="42"/>
      <c r="F127" s="42"/>
      <c r="G127" s="42"/>
      <c r="H127" s="42"/>
    </row>
    <row r="128" spans="1:8">
      <c r="A128" s="42"/>
      <c r="B128" s="42"/>
      <c r="C128" s="42"/>
      <c r="D128" s="42"/>
      <c r="E128" s="42"/>
      <c r="F128" s="42"/>
      <c r="G128" s="42"/>
      <c r="H128" s="42"/>
    </row>
    <row r="129" spans="1:8">
      <c r="A129" s="42"/>
      <c r="B129" s="42"/>
      <c r="C129" s="42"/>
      <c r="D129" s="42"/>
      <c r="E129" s="42"/>
      <c r="F129" s="42"/>
      <c r="G129" s="42"/>
      <c r="H129" s="42"/>
    </row>
    <row r="130" spans="1:8">
      <c r="A130" s="42"/>
      <c r="B130" s="42"/>
      <c r="C130" s="42"/>
      <c r="D130" s="42"/>
      <c r="E130" s="42"/>
      <c r="F130" s="42"/>
      <c r="G130" s="42"/>
      <c r="H130" s="42"/>
    </row>
    <row r="131" spans="1:8">
      <c r="A131" s="42"/>
      <c r="B131" s="42"/>
      <c r="C131" s="42"/>
      <c r="D131" s="42"/>
      <c r="E131" s="42"/>
      <c r="F131" s="42"/>
      <c r="G131" s="42"/>
      <c r="H131" s="42"/>
    </row>
    <row r="132" spans="1:8">
      <c r="A132" s="42"/>
      <c r="B132" s="42"/>
      <c r="C132" s="42"/>
      <c r="D132" s="42"/>
      <c r="E132" s="42"/>
      <c r="F132" s="42"/>
      <c r="G132" s="42"/>
      <c r="H132" s="42"/>
    </row>
    <row r="133" spans="1:8">
      <c r="A133" s="42"/>
      <c r="B133" s="42"/>
      <c r="C133" s="42"/>
      <c r="D133" s="42"/>
      <c r="E133" s="42"/>
      <c r="F133" s="42"/>
      <c r="G133" s="42"/>
      <c r="H133" s="42"/>
    </row>
    <row r="134" spans="1:8">
      <c r="A134" s="42"/>
      <c r="B134" s="42"/>
      <c r="C134" s="42"/>
      <c r="D134" s="42"/>
      <c r="E134" s="42"/>
      <c r="F134" s="42"/>
      <c r="G134" s="42"/>
      <c r="H134" s="42"/>
    </row>
    <row r="135" spans="1:8">
      <c r="A135" s="42"/>
      <c r="B135" s="42"/>
      <c r="C135" s="42"/>
      <c r="D135" s="42"/>
      <c r="E135" s="42"/>
      <c r="F135" s="42"/>
      <c r="G135" s="42"/>
      <c r="H135" s="42"/>
    </row>
    <row r="136" spans="1:8">
      <c r="A136" s="42"/>
      <c r="B136" s="42"/>
      <c r="C136" s="42"/>
      <c r="D136" s="42"/>
      <c r="E136" s="42"/>
      <c r="F136" s="42"/>
      <c r="G136" s="42"/>
      <c r="H136" s="42"/>
    </row>
    <row r="137" spans="1:8">
      <c r="A137" s="42"/>
      <c r="B137" s="42"/>
      <c r="C137" s="42"/>
      <c r="D137" s="42"/>
      <c r="E137" s="42"/>
      <c r="F137" s="42"/>
      <c r="G137" s="42"/>
      <c r="H137" s="42"/>
    </row>
    <row r="138" spans="1:8">
      <c r="A138" s="42"/>
      <c r="B138" s="42"/>
      <c r="C138" s="42"/>
      <c r="D138" s="42"/>
      <c r="E138" s="42"/>
      <c r="F138" s="42"/>
      <c r="G138" s="42"/>
      <c r="H138" s="42"/>
    </row>
    <row r="139" spans="1:8">
      <c r="A139" s="42"/>
      <c r="B139" s="42"/>
      <c r="C139" s="42"/>
      <c r="D139" s="42"/>
      <c r="E139" s="42"/>
      <c r="F139" s="42"/>
      <c r="G139" s="42"/>
      <c r="H139" s="42"/>
    </row>
    <row r="140" spans="1:8">
      <c r="A140" s="42"/>
      <c r="B140" s="42"/>
      <c r="C140" s="42"/>
      <c r="D140" s="42"/>
      <c r="E140" s="42"/>
      <c r="F140" s="42"/>
      <c r="G140" s="42"/>
      <c r="H140" s="42"/>
    </row>
    <row r="141" spans="1:8">
      <c r="A141" s="42"/>
      <c r="B141" s="42"/>
      <c r="C141" s="42"/>
      <c r="D141" s="42"/>
      <c r="E141" s="42"/>
      <c r="F141" s="42"/>
      <c r="G141" s="42"/>
      <c r="H141" s="42"/>
    </row>
    <row r="142" spans="1:8">
      <c r="A142" s="42"/>
      <c r="B142" s="42"/>
      <c r="C142" s="42"/>
      <c r="D142" s="42"/>
      <c r="E142" s="42"/>
      <c r="F142" s="42"/>
      <c r="G142" s="42"/>
      <c r="H142" s="42"/>
    </row>
    <row r="143" spans="1:8">
      <c r="A143" s="42"/>
      <c r="B143" s="42"/>
      <c r="C143" s="42"/>
      <c r="D143" s="42"/>
      <c r="E143" s="42"/>
      <c r="F143" s="42"/>
      <c r="G143" s="42"/>
      <c r="H143" s="42"/>
    </row>
    <row r="144" spans="1:8">
      <c r="A144" s="42"/>
      <c r="B144" s="42"/>
      <c r="C144" s="42"/>
      <c r="D144" s="42"/>
      <c r="E144" s="42"/>
      <c r="F144" s="42"/>
      <c r="G144" s="42"/>
      <c r="H144" s="42"/>
    </row>
    <row r="145" spans="1:8">
      <c r="A145" s="42"/>
      <c r="B145" s="42"/>
      <c r="C145" s="42"/>
      <c r="D145" s="42"/>
      <c r="E145" s="42"/>
      <c r="F145" s="42"/>
      <c r="G145" s="42"/>
      <c r="H145" s="42"/>
    </row>
    <row r="146" spans="1:8">
      <c r="A146" s="42"/>
      <c r="B146" s="42"/>
      <c r="C146" s="42"/>
      <c r="D146" s="42"/>
      <c r="E146" s="42"/>
      <c r="F146" s="42"/>
      <c r="G146" s="42"/>
      <c r="H146" s="42"/>
    </row>
    <row r="147" spans="1:8">
      <c r="A147" s="42"/>
      <c r="B147" s="42"/>
      <c r="C147" s="42"/>
      <c r="D147" s="42"/>
      <c r="E147" s="42"/>
      <c r="F147" s="42"/>
      <c r="G147" s="42"/>
      <c r="H147" s="42"/>
    </row>
    <row r="148" spans="1:8">
      <c r="A148" s="42"/>
      <c r="B148" s="42"/>
      <c r="C148" s="42"/>
      <c r="D148" s="42"/>
      <c r="E148" s="42"/>
      <c r="F148" s="42"/>
      <c r="G148" s="42"/>
      <c r="H148" s="42"/>
    </row>
    <row r="149" spans="1:8">
      <c r="A149" s="42"/>
      <c r="B149" s="42"/>
      <c r="C149" s="42"/>
      <c r="D149" s="42"/>
      <c r="E149" s="42"/>
      <c r="F149" s="42"/>
      <c r="G149" s="42"/>
      <c r="H149" s="42"/>
    </row>
    <row r="150" spans="1:8">
      <c r="A150" s="42"/>
      <c r="B150" s="42"/>
      <c r="C150" s="42"/>
      <c r="D150" s="42"/>
      <c r="E150" s="42"/>
      <c r="F150" s="42"/>
      <c r="G150" s="42"/>
      <c r="H150" s="42"/>
    </row>
    <row r="151" spans="1:8">
      <c r="A151" s="42"/>
      <c r="B151" s="42"/>
      <c r="C151" s="42"/>
      <c r="D151" s="42"/>
      <c r="E151" s="42"/>
      <c r="F151" s="42"/>
      <c r="G151" s="42"/>
      <c r="H151" s="42"/>
    </row>
    <row r="152" spans="1:8">
      <c r="A152" s="42"/>
      <c r="B152" s="42"/>
      <c r="C152" s="42"/>
      <c r="D152" s="42"/>
      <c r="E152" s="42"/>
      <c r="F152" s="42"/>
      <c r="G152" s="42"/>
      <c r="H152" s="42"/>
    </row>
    <row r="153" spans="1:8">
      <c r="A153" s="42"/>
      <c r="B153" s="42"/>
      <c r="C153" s="42"/>
      <c r="D153" s="42"/>
      <c r="E153" s="42"/>
      <c r="F153" s="42"/>
      <c r="G153" s="42"/>
      <c r="H153" s="42"/>
    </row>
    <row r="154" spans="1:8">
      <c r="A154" s="42"/>
      <c r="B154" s="42"/>
      <c r="C154" s="42"/>
      <c r="D154" s="42"/>
      <c r="E154" s="42"/>
      <c r="F154" s="42"/>
      <c r="G154" s="42"/>
      <c r="H154" s="42"/>
    </row>
    <row r="155" spans="1:8">
      <c r="A155" s="42"/>
      <c r="B155" s="42"/>
      <c r="C155" s="42"/>
      <c r="D155" s="42"/>
      <c r="E155" s="42"/>
      <c r="F155" s="42"/>
      <c r="G155" s="42"/>
      <c r="H155" s="42"/>
    </row>
    <row r="156" spans="1:8">
      <c r="A156" s="42"/>
      <c r="B156" s="42"/>
      <c r="C156" s="42"/>
      <c r="D156" s="42"/>
      <c r="E156" s="42"/>
      <c r="F156" s="42"/>
      <c r="G156" s="42"/>
      <c r="H156" s="42"/>
    </row>
    <row r="157" spans="1:8">
      <c r="A157" s="42"/>
      <c r="B157" s="42"/>
      <c r="C157" s="42"/>
      <c r="D157" s="42"/>
      <c r="E157" s="42"/>
      <c r="F157" s="42"/>
      <c r="G157" s="42"/>
      <c r="H157" s="42"/>
    </row>
    <row r="158" spans="1:8">
      <c r="A158" s="42"/>
      <c r="B158" s="42"/>
      <c r="C158" s="42"/>
      <c r="D158" s="42"/>
      <c r="E158" s="42"/>
      <c r="F158" s="42"/>
      <c r="G158" s="42"/>
      <c r="H158" s="42"/>
    </row>
    <row r="159" spans="1:8">
      <c r="A159" s="42"/>
      <c r="B159" s="42"/>
      <c r="C159" s="42"/>
      <c r="D159" s="42"/>
      <c r="E159" s="42"/>
      <c r="F159" s="42"/>
      <c r="G159" s="42"/>
      <c r="H159" s="42"/>
    </row>
    <row r="160" spans="1:8">
      <c r="A160" s="42"/>
      <c r="B160" s="42"/>
      <c r="C160" s="42"/>
      <c r="D160" s="42"/>
      <c r="E160" s="42"/>
      <c r="F160" s="42"/>
      <c r="G160" s="42"/>
      <c r="H160" s="42"/>
    </row>
    <row r="161" spans="1:8">
      <c r="A161" s="42"/>
      <c r="B161" s="42"/>
      <c r="C161" s="42"/>
      <c r="D161" s="42"/>
      <c r="E161" s="42"/>
      <c r="F161" s="42"/>
      <c r="G161" s="42"/>
      <c r="H161" s="42"/>
    </row>
    <row r="162" spans="1:8">
      <c r="A162" s="42"/>
      <c r="B162" s="42"/>
      <c r="C162" s="42"/>
      <c r="D162" s="42"/>
      <c r="E162" s="42"/>
      <c r="F162" s="42"/>
      <c r="G162" s="42"/>
      <c r="H162" s="42"/>
    </row>
    <row r="163" spans="1:8">
      <c r="A163" s="42"/>
      <c r="B163" s="42"/>
      <c r="C163" s="42"/>
      <c r="D163" s="42"/>
      <c r="E163" s="42"/>
      <c r="F163" s="42"/>
      <c r="G163" s="42"/>
      <c r="H163" s="42"/>
    </row>
    <row r="164" spans="1:8">
      <c r="A164" s="42"/>
      <c r="B164" s="42"/>
      <c r="C164" s="42"/>
      <c r="D164" s="42"/>
      <c r="E164" s="42"/>
      <c r="F164" s="42"/>
      <c r="G164" s="42"/>
      <c r="H164" s="42"/>
    </row>
    <row r="165" spans="1:8">
      <c r="A165" s="42"/>
      <c r="B165" s="42"/>
      <c r="C165" s="42"/>
      <c r="D165" s="42"/>
      <c r="E165" s="42"/>
      <c r="F165" s="42"/>
      <c r="G165" s="42"/>
      <c r="H165" s="42"/>
    </row>
    <row r="166" spans="1:8">
      <c r="A166" s="42"/>
      <c r="B166" s="42"/>
      <c r="C166" s="42"/>
      <c r="D166" s="42"/>
      <c r="E166" s="42"/>
      <c r="F166" s="42"/>
      <c r="G166" s="42"/>
      <c r="H166" s="42"/>
    </row>
    <row r="167" spans="1:8">
      <c r="A167" s="42"/>
      <c r="B167" s="42"/>
      <c r="C167" s="42"/>
      <c r="D167" s="42"/>
      <c r="E167" s="42"/>
      <c r="F167" s="42"/>
      <c r="G167" s="42"/>
      <c r="H167" s="42"/>
    </row>
    <row r="168" spans="1:8">
      <c r="A168" s="42"/>
      <c r="B168" s="42"/>
      <c r="C168" s="42"/>
      <c r="D168" s="42"/>
      <c r="E168" s="42"/>
      <c r="F168" s="42"/>
      <c r="G168" s="42"/>
      <c r="H168" s="42"/>
    </row>
    <row r="169" spans="1:8">
      <c r="A169" s="42"/>
      <c r="B169" s="42"/>
      <c r="C169" s="42"/>
      <c r="D169" s="42"/>
      <c r="E169" s="42"/>
      <c r="F169" s="42"/>
      <c r="G169" s="42"/>
      <c r="H169" s="42"/>
    </row>
    <row r="170" spans="1:8">
      <c r="A170" s="42"/>
      <c r="B170" s="42"/>
      <c r="C170" s="42"/>
      <c r="D170" s="42"/>
      <c r="E170" s="42"/>
      <c r="F170" s="42"/>
      <c r="G170" s="42"/>
      <c r="H170" s="42"/>
    </row>
    <row r="171" spans="1:8">
      <c r="A171" s="42"/>
      <c r="B171" s="42"/>
      <c r="C171" s="42"/>
      <c r="D171" s="42"/>
      <c r="E171" s="42"/>
      <c r="F171" s="42"/>
      <c r="G171" s="42"/>
      <c r="H171" s="42"/>
    </row>
    <row r="172" spans="1:8">
      <c r="A172" s="42"/>
      <c r="B172" s="42"/>
      <c r="C172" s="42"/>
      <c r="D172" s="42"/>
      <c r="E172" s="42"/>
      <c r="F172" s="42"/>
      <c r="G172" s="42"/>
      <c r="H172" s="42"/>
    </row>
    <row r="173" spans="1:8">
      <c r="A173" s="42"/>
      <c r="B173" s="42"/>
      <c r="C173" s="42"/>
      <c r="D173" s="42"/>
      <c r="E173" s="42"/>
      <c r="F173" s="42"/>
      <c r="G173" s="42"/>
      <c r="H173" s="42"/>
    </row>
    <row r="174" spans="1:8">
      <c r="A174" s="42"/>
      <c r="B174" s="42"/>
      <c r="C174" s="42"/>
      <c r="D174" s="42"/>
      <c r="E174" s="42"/>
      <c r="F174" s="42"/>
      <c r="G174" s="42"/>
      <c r="H174" s="42"/>
    </row>
    <row r="175" spans="1:8">
      <c r="A175" s="42"/>
      <c r="B175" s="42"/>
      <c r="C175" s="42"/>
      <c r="D175" s="42"/>
      <c r="E175" s="42"/>
      <c r="F175" s="42"/>
      <c r="G175" s="42"/>
      <c r="H175" s="42"/>
    </row>
    <row r="176" spans="1:8">
      <c r="A176" s="42"/>
      <c r="B176" s="42"/>
      <c r="C176" s="42"/>
      <c r="D176" s="42"/>
      <c r="E176" s="42"/>
      <c r="F176" s="42"/>
      <c r="G176" s="42"/>
      <c r="H176" s="42"/>
    </row>
    <row r="177" spans="1:8">
      <c r="A177" s="42"/>
      <c r="B177" s="42"/>
      <c r="C177" s="42"/>
      <c r="D177" s="42"/>
      <c r="E177" s="42"/>
      <c r="F177" s="42"/>
      <c r="G177" s="42"/>
      <c r="H177" s="42"/>
    </row>
    <row r="178" spans="1:8">
      <c r="A178" s="42"/>
      <c r="B178" s="42"/>
      <c r="C178" s="42"/>
      <c r="D178" s="42"/>
      <c r="E178" s="42"/>
      <c r="F178" s="42"/>
      <c r="G178" s="42"/>
      <c r="H178" s="42"/>
    </row>
    <row r="179" spans="1:8">
      <c r="A179" s="42"/>
      <c r="B179" s="42"/>
      <c r="C179" s="42"/>
      <c r="D179" s="42"/>
      <c r="E179" s="42"/>
      <c r="F179" s="42"/>
      <c r="G179" s="42"/>
      <c r="H179" s="42"/>
    </row>
    <row r="180" spans="1:8">
      <c r="A180" s="42"/>
      <c r="B180" s="42"/>
      <c r="C180" s="42"/>
      <c r="D180" s="42"/>
      <c r="E180" s="42"/>
      <c r="F180" s="42"/>
      <c r="G180" s="42"/>
      <c r="H180" s="42"/>
    </row>
    <row r="181" spans="1:8">
      <c r="A181" s="42"/>
      <c r="B181" s="42"/>
      <c r="C181" s="42"/>
      <c r="D181" s="42"/>
      <c r="E181" s="42"/>
      <c r="F181" s="42"/>
      <c r="G181" s="42"/>
      <c r="H181" s="42"/>
    </row>
    <row r="182" spans="1:8">
      <c r="A182" s="42"/>
      <c r="B182" s="42"/>
      <c r="C182" s="42"/>
      <c r="D182" s="42"/>
      <c r="E182" s="42"/>
      <c r="F182" s="42"/>
      <c r="G182" s="42"/>
      <c r="H182" s="42"/>
    </row>
    <row r="183" spans="1:8">
      <c r="A183" s="42"/>
      <c r="B183" s="42"/>
      <c r="C183" s="42"/>
      <c r="D183" s="42"/>
      <c r="E183" s="42"/>
      <c r="F183" s="42"/>
      <c r="G183" s="42"/>
      <c r="H183" s="42"/>
    </row>
    <row r="184" spans="1:8">
      <c r="A184" s="42"/>
      <c r="B184" s="42"/>
      <c r="C184" s="42"/>
      <c r="D184" s="42"/>
      <c r="E184" s="42"/>
      <c r="F184" s="42"/>
      <c r="G184" s="42"/>
      <c r="H184" s="42"/>
    </row>
    <row r="185" spans="1:8">
      <c r="A185" s="42"/>
      <c r="B185" s="42"/>
      <c r="C185" s="42"/>
      <c r="D185" s="42"/>
      <c r="E185" s="42"/>
      <c r="F185" s="42"/>
      <c r="G185" s="42"/>
      <c r="H185" s="42"/>
    </row>
    <row r="186" spans="1:8">
      <c r="A186" s="42"/>
      <c r="B186" s="42"/>
      <c r="C186" s="42"/>
      <c r="D186" s="42"/>
      <c r="E186" s="42"/>
      <c r="F186" s="42"/>
      <c r="G186" s="42"/>
      <c r="H186" s="42"/>
    </row>
    <row r="187" spans="1:8">
      <c r="A187" s="42"/>
      <c r="B187" s="42"/>
      <c r="C187" s="42"/>
      <c r="D187" s="42"/>
      <c r="E187" s="42"/>
      <c r="F187" s="42"/>
      <c r="G187" s="42"/>
      <c r="H187" s="42"/>
    </row>
    <row r="188" spans="1:8">
      <c r="A188" s="42"/>
      <c r="B188" s="42"/>
      <c r="C188" s="42"/>
      <c r="D188" s="42"/>
      <c r="E188" s="42"/>
      <c r="F188" s="42"/>
      <c r="G188" s="42"/>
      <c r="H188" s="42"/>
    </row>
    <row r="189" spans="1:8">
      <c r="A189" s="42"/>
      <c r="B189" s="42"/>
      <c r="C189" s="42"/>
      <c r="D189" s="42"/>
      <c r="E189" s="42"/>
      <c r="F189" s="42"/>
      <c r="G189" s="42"/>
      <c r="H189" s="42"/>
    </row>
    <row r="190" spans="1:8">
      <c r="A190" s="42"/>
      <c r="B190" s="42"/>
      <c r="C190" s="42"/>
      <c r="D190" s="42"/>
      <c r="E190" s="42"/>
      <c r="F190" s="42"/>
      <c r="G190" s="42"/>
      <c r="H190" s="42"/>
    </row>
    <row r="191" spans="1:8">
      <c r="A191" s="42"/>
      <c r="B191" s="42"/>
      <c r="C191" s="42"/>
      <c r="D191" s="42"/>
      <c r="E191" s="42"/>
      <c r="F191" s="42"/>
      <c r="G191" s="42"/>
      <c r="H191" s="42"/>
    </row>
    <row r="192" spans="1:8">
      <c r="A192" s="42"/>
      <c r="B192" s="42"/>
      <c r="C192" s="42"/>
      <c r="D192" s="42"/>
      <c r="E192" s="42"/>
      <c r="F192" s="42"/>
      <c r="G192" s="42"/>
      <c r="H192" s="42"/>
    </row>
    <row r="193" spans="1:8">
      <c r="A193" s="42"/>
      <c r="B193" s="42"/>
      <c r="C193" s="42"/>
      <c r="D193" s="42"/>
      <c r="E193" s="42"/>
      <c r="F193" s="42"/>
      <c r="G193" s="42"/>
      <c r="H193" s="42"/>
    </row>
    <row r="194" spans="1:8">
      <c r="A194" s="42"/>
      <c r="B194" s="42"/>
      <c r="C194" s="42"/>
      <c r="D194" s="42"/>
      <c r="E194" s="42"/>
      <c r="F194" s="42"/>
      <c r="G194" s="42"/>
      <c r="H194" s="42"/>
    </row>
    <row r="195" spans="1:8">
      <c r="A195" s="42"/>
      <c r="B195" s="42"/>
      <c r="C195" s="42"/>
      <c r="D195" s="42"/>
      <c r="E195" s="42"/>
      <c r="F195" s="42"/>
      <c r="G195" s="42"/>
      <c r="H195" s="42"/>
    </row>
    <row r="196" spans="1:8">
      <c r="A196" s="42"/>
      <c r="B196" s="42"/>
      <c r="C196" s="42"/>
      <c r="D196" s="42"/>
      <c r="E196" s="42"/>
      <c r="F196" s="42"/>
      <c r="G196" s="42"/>
      <c r="H196" s="42"/>
    </row>
    <row r="197" spans="1:8">
      <c r="A197" s="42"/>
      <c r="B197" s="42"/>
      <c r="C197" s="42"/>
      <c r="D197" s="42"/>
      <c r="E197" s="42"/>
      <c r="F197" s="42"/>
      <c r="G197" s="42"/>
      <c r="H197" s="42"/>
    </row>
    <row r="198" spans="1:8">
      <c r="A198" s="42"/>
      <c r="B198" s="42"/>
      <c r="C198" s="42"/>
      <c r="D198" s="42"/>
      <c r="E198" s="42"/>
      <c r="F198" s="42"/>
      <c r="G198" s="42"/>
      <c r="H198" s="42"/>
    </row>
    <row r="199" spans="1:8">
      <c r="A199" s="42"/>
      <c r="B199" s="42"/>
      <c r="C199" s="42"/>
      <c r="D199" s="42"/>
      <c r="E199" s="42"/>
      <c r="F199" s="42"/>
      <c r="G199" s="42"/>
      <c r="H199" s="42"/>
    </row>
    <row r="200" spans="1:8">
      <c r="A200" s="42"/>
      <c r="B200" s="42"/>
      <c r="C200" s="42"/>
      <c r="D200" s="42"/>
      <c r="E200" s="42"/>
      <c r="F200" s="42"/>
      <c r="G200" s="42"/>
      <c r="H200" s="42"/>
    </row>
    <row r="201" spans="1:8">
      <c r="A201" s="42"/>
      <c r="B201" s="42"/>
      <c r="C201" s="42"/>
      <c r="D201" s="42"/>
      <c r="E201" s="42"/>
      <c r="F201" s="42"/>
      <c r="G201" s="42"/>
      <c r="H201" s="42"/>
    </row>
    <row r="202" spans="1:8">
      <c r="A202" s="42"/>
      <c r="B202" s="42"/>
      <c r="C202" s="42"/>
      <c r="D202" s="42"/>
      <c r="E202" s="42"/>
      <c r="F202" s="42"/>
      <c r="G202" s="42"/>
      <c r="H202" s="42"/>
    </row>
    <row r="203" spans="1:8">
      <c r="A203" s="42"/>
      <c r="B203" s="42"/>
      <c r="C203" s="42"/>
      <c r="D203" s="42"/>
      <c r="E203" s="42"/>
      <c r="F203" s="42"/>
      <c r="G203" s="42"/>
      <c r="H203" s="42"/>
    </row>
    <row r="204" spans="1:8">
      <c r="A204" s="42"/>
      <c r="B204" s="42"/>
      <c r="C204" s="42"/>
      <c r="D204" s="42"/>
      <c r="E204" s="42"/>
      <c r="F204" s="42"/>
      <c r="G204" s="42"/>
      <c r="H204" s="42"/>
    </row>
    <row r="205" spans="1:8">
      <c r="A205" s="42"/>
      <c r="B205" s="42"/>
      <c r="C205" s="42"/>
      <c r="D205" s="42"/>
      <c r="E205" s="42"/>
      <c r="F205" s="42"/>
      <c r="G205" s="42"/>
      <c r="H205" s="42"/>
    </row>
    <row r="206" spans="1:8">
      <c r="A206" s="42"/>
      <c r="B206" s="42"/>
      <c r="C206" s="42"/>
      <c r="D206" s="42"/>
      <c r="E206" s="42"/>
      <c r="F206" s="42"/>
      <c r="G206" s="42"/>
      <c r="H206" s="42"/>
    </row>
    <row r="207" spans="1:8">
      <c r="A207" s="42"/>
      <c r="B207" s="42"/>
      <c r="C207" s="42"/>
      <c r="D207" s="42"/>
      <c r="E207" s="42"/>
      <c r="F207" s="42"/>
      <c r="G207" s="42"/>
      <c r="H207" s="42"/>
    </row>
    <row r="208" spans="1:8">
      <c r="A208" s="42"/>
      <c r="B208" s="42"/>
      <c r="C208" s="42"/>
      <c r="D208" s="42"/>
      <c r="E208" s="42"/>
      <c r="F208" s="42"/>
      <c r="G208" s="42"/>
      <c r="H208" s="42"/>
    </row>
    <row r="209" spans="1:8">
      <c r="A209" s="42"/>
      <c r="B209" s="42"/>
      <c r="C209" s="42"/>
      <c r="D209" s="42"/>
      <c r="E209" s="42"/>
      <c r="F209" s="42"/>
      <c r="G209" s="42"/>
      <c r="H209" s="42"/>
    </row>
    <row r="210" spans="1:8">
      <c r="A210" s="42"/>
      <c r="B210" s="42"/>
      <c r="C210" s="42"/>
      <c r="D210" s="42"/>
      <c r="E210" s="42"/>
      <c r="F210" s="42"/>
      <c r="G210" s="42"/>
      <c r="H210" s="42"/>
    </row>
    <row r="211" spans="1:8">
      <c r="A211" s="42"/>
      <c r="B211" s="42"/>
      <c r="C211" s="42"/>
      <c r="D211" s="42"/>
      <c r="E211" s="42"/>
      <c r="F211" s="42"/>
      <c r="G211" s="42"/>
      <c r="H211" s="42"/>
    </row>
    <row r="212" spans="1:8">
      <c r="A212" s="42"/>
      <c r="B212" s="42"/>
      <c r="C212" s="42"/>
      <c r="D212" s="42"/>
      <c r="E212" s="42"/>
      <c r="F212" s="42"/>
      <c r="G212" s="42"/>
      <c r="H212" s="42"/>
    </row>
    <row r="213" spans="1:8">
      <c r="A213" s="42"/>
      <c r="B213" s="42"/>
      <c r="C213" s="42"/>
      <c r="D213" s="42"/>
      <c r="E213" s="42"/>
      <c r="F213" s="42"/>
      <c r="G213" s="42"/>
      <c r="H213" s="42"/>
    </row>
    <row r="214" spans="1:8">
      <c r="A214" s="42"/>
      <c r="B214" s="42"/>
      <c r="C214" s="42"/>
      <c r="D214" s="42"/>
      <c r="E214" s="42"/>
      <c r="F214" s="42"/>
      <c r="G214" s="42"/>
      <c r="H214" s="42"/>
    </row>
    <row r="215" spans="1:8">
      <c r="A215" s="42"/>
      <c r="B215" s="42"/>
      <c r="C215" s="42"/>
      <c r="D215" s="42"/>
      <c r="E215" s="42"/>
      <c r="F215" s="42"/>
      <c r="G215" s="42"/>
      <c r="H215" s="42"/>
    </row>
    <row r="216" spans="1:8">
      <c r="A216" s="42"/>
      <c r="B216" s="42"/>
      <c r="C216" s="42"/>
      <c r="D216" s="42"/>
      <c r="E216" s="42"/>
      <c r="F216" s="42"/>
      <c r="G216" s="42"/>
      <c r="H216" s="42"/>
    </row>
    <row r="217" spans="1:8">
      <c r="A217" s="42"/>
      <c r="B217" s="42"/>
      <c r="C217" s="42"/>
      <c r="D217" s="42"/>
      <c r="E217" s="42"/>
      <c r="F217" s="42"/>
      <c r="G217" s="42"/>
      <c r="H217" s="42"/>
    </row>
    <row r="218" spans="1:8">
      <c r="A218" s="42"/>
      <c r="B218" s="42"/>
      <c r="C218" s="42"/>
      <c r="D218" s="42"/>
      <c r="E218" s="42"/>
      <c r="F218" s="42"/>
      <c r="G218" s="42"/>
      <c r="H218" s="42"/>
    </row>
    <row r="219" spans="1:8">
      <c r="A219" s="42"/>
      <c r="B219" s="42"/>
      <c r="C219" s="42"/>
      <c r="D219" s="42"/>
      <c r="E219" s="42"/>
      <c r="F219" s="42"/>
      <c r="G219" s="42"/>
      <c r="H219" s="42"/>
    </row>
    <row r="220" spans="1:8">
      <c r="A220" s="42"/>
      <c r="B220" s="42"/>
      <c r="C220" s="42"/>
      <c r="D220" s="42"/>
      <c r="E220" s="42"/>
      <c r="F220" s="42"/>
      <c r="G220" s="42"/>
      <c r="H220" s="42"/>
    </row>
    <row r="221" spans="1:8">
      <c r="A221" s="42"/>
      <c r="B221" s="42"/>
      <c r="C221" s="42"/>
      <c r="D221" s="42"/>
      <c r="E221" s="42"/>
      <c r="F221" s="42"/>
      <c r="G221" s="42"/>
      <c r="H221" s="42"/>
    </row>
    <row r="222" spans="1:8">
      <c r="A222" s="42"/>
      <c r="B222" s="42"/>
      <c r="C222" s="42"/>
      <c r="D222" s="42"/>
      <c r="E222" s="42"/>
      <c r="F222" s="42"/>
      <c r="G222" s="42"/>
      <c r="H222" s="42"/>
    </row>
    <row r="223" spans="1:8">
      <c r="A223" s="42"/>
      <c r="B223" s="42"/>
      <c r="C223" s="42"/>
      <c r="D223" s="42"/>
      <c r="E223" s="42"/>
      <c r="F223" s="42"/>
      <c r="G223" s="42"/>
      <c r="H223" s="42"/>
    </row>
    <row r="224" spans="1:8">
      <c r="A224" s="42"/>
      <c r="B224" s="42"/>
      <c r="C224" s="42"/>
      <c r="D224" s="42"/>
      <c r="E224" s="42"/>
      <c r="F224" s="42"/>
      <c r="G224" s="42"/>
      <c r="H224" s="42"/>
    </row>
    <row r="225" spans="1:8">
      <c r="A225" s="42"/>
      <c r="B225" s="42"/>
      <c r="C225" s="42"/>
      <c r="D225" s="42"/>
      <c r="E225" s="42"/>
      <c r="F225" s="42"/>
      <c r="G225" s="42"/>
      <c r="H225" s="42"/>
    </row>
    <row r="226" spans="1:8">
      <c r="A226" s="42"/>
      <c r="B226" s="42"/>
      <c r="C226" s="42"/>
      <c r="D226" s="42"/>
      <c r="E226" s="42"/>
      <c r="F226" s="42"/>
      <c r="G226" s="42"/>
      <c r="H226" s="42"/>
    </row>
    <row r="227" spans="1:8">
      <c r="A227" s="42"/>
      <c r="B227" s="42"/>
      <c r="C227" s="42"/>
      <c r="D227" s="42"/>
      <c r="E227" s="42"/>
      <c r="F227" s="42"/>
      <c r="G227" s="42"/>
      <c r="H227" s="42"/>
    </row>
    <row r="228" spans="1:8">
      <c r="A228" s="42"/>
      <c r="B228" s="42"/>
      <c r="C228" s="42"/>
      <c r="D228" s="42"/>
      <c r="E228" s="42"/>
      <c r="F228" s="42"/>
      <c r="G228" s="42"/>
      <c r="H228" s="42"/>
    </row>
    <row r="229" spans="1:8">
      <c r="A229" s="42"/>
      <c r="B229" s="42"/>
      <c r="C229" s="42"/>
      <c r="D229" s="42"/>
      <c r="E229" s="42"/>
      <c r="F229" s="42"/>
      <c r="G229" s="42"/>
      <c r="H229" s="42"/>
    </row>
    <row r="230" spans="1:8">
      <c r="A230" s="42"/>
      <c r="B230" s="42"/>
      <c r="C230" s="42"/>
      <c r="D230" s="42"/>
      <c r="E230" s="42"/>
      <c r="F230" s="42"/>
      <c r="G230" s="42"/>
      <c r="H230" s="42"/>
    </row>
    <row r="231" spans="1:8">
      <c r="A231" s="42"/>
      <c r="B231" s="42"/>
      <c r="C231" s="42"/>
      <c r="D231" s="42"/>
      <c r="E231" s="42"/>
      <c r="F231" s="42"/>
      <c r="G231" s="42"/>
      <c r="H231" s="42"/>
    </row>
    <row r="232" spans="1:8">
      <c r="A232" s="42"/>
      <c r="B232" s="42"/>
      <c r="C232" s="42"/>
      <c r="D232" s="42"/>
      <c r="E232" s="42"/>
      <c r="F232" s="42"/>
      <c r="G232" s="42"/>
      <c r="H232" s="42"/>
    </row>
    <row r="233" spans="1:8">
      <c r="A233" s="42"/>
      <c r="B233" s="42"/>
      <c r="C233" s="42"/>
      <c r="D233" s="42"/>
      <c r="E233" s="42"/>
      <c r="F233" s="42"/>
      <c r="G233" s="42"/>
      <c r="H233" s="42"/>
    </row>
    <row r="234" spans="1:8">
      <c r="A234" s="42"/>
      <c r="B234" s="42"/>
      <c r="C234" s="42"/>
      <c r="D234" s="42"/>
      <c r="E234" s="42"/>
      <c r="F234" s="42"/>
      <c r="G234" s="42"/>
      <c r="H234" s="42"/>
    </row>
    <row r="235" spans="1:8">
      <c r="A235" s="42"/>
      <c r="B235" s="42"/>
      <c r="C235" s="42"/>
      <c r="D235" s="42"/>
      <c r="E235" s="42"/>
      <c r="F235" s="42"/>
      <c r="G235" s="42"/>
      <c r="H235" s="42"/>
    </row>
    <row r="236" spans="1:8">
      <c r="A236" s="42"/>
      <c r="B236" s="42"/>
      <c r="C236" s="42"/>
      <c r="D236" s="42"/>
      <c r="E236" s="42"/>
      <c r="F236" s="42"/>
      <c r="G236" s="42"/>
      <c r="H236" s="42"/>
    </row>
    <row r="237" spans="1:8">
      <c r="A237" s="42"/>
      <c r="B237" s="42"/>
      <c r="C237" s="42"/>
      <c r="D237" s="42"/>
      <c r="E237" s="42"/>
      <c r="F237" s="42"/>
      <c r="G237" s="42"/>
      <c r="H237" s="42"/>
    </row>
    <row r="238" spans="1:8">
      <c r="A238" s="42"/>
      <c r="B238" s="42"/>
      <c r="C238" s="42"/>
      <c r="D238" s="42"/>
      <c r="E238" s="42"/>
      <c r="F238" s="42"/>
      <c r="G238" s="42"/>
      <c r="H238" s="42"/>
    </row>
    <row r="239" spans="1:8">
      <c r="A239" s="42"/>
      <c r="B239" s="42"/>
      <c r="C239" s="42"/>
      <c r="D239" s="42"/>
      <c r="E239" s="42"/>
      <c r="F239" s="42"/>
      <c r="G239" s="42"/>
      <c r="H239" s="42"/>
    </row>
    <row r="240" spans="1:8">
      <c r="A240" s="42"/>
      <c r="B240" s="42"/>
      <c r="C240" s="42"/>
      <c r="D240" s="42"/>
      <c r="E240" s="42"/>
      <c r="F240" s="42"/>
      <c r="G240" s="42"/>
      <c r="H240" s="42"/>
    </row>
    <row r="241" spans="1:8">
      <c r="A241" s="42"/>
      <c r="B241" s="42"/>
      <c r="C241" s="42"/>
      <c r="D241" s="42"/>
      <c r="E241" s="42"/>
      <c r="F241" s="42"/>
      <c r="G241" s="42"/>
      <c r="H241" s="42"/>
    </row>
    <row r="242" spans="1:8">
      <c r="A242" s="42"/>
      <c r="B242" s="42"/>
      <c r="C242" s="42"/>
      <c r="D242" s="42"/>
      <c r="E242" s="42"/>
      <c r="F242" s="42"/>
      <c r="G242" s="42"/>
      <c r="H242" s="42"/>
    </row>
    <row r="243" spans="1:8">
      <c r="A243" s="42"/>
      <c r="B243" s="42"/>
      <c r="C243" s="42"/>
      <c r="D243" s="42"/>
      <c r="E243" s="42"/>
      <c r="F243" s="42"/>
      <c r="G243" s="42"/>
      <c r="H243" s="42"/>
    </row>
    <row r="244" spans="1:8">
      <c r="A244" s="42"/>
      <c r="B244" s="42"/>
      <c r="C244" s="42"/>
      <c r="D244" s="42"/>
      <c r="E244" s="42"/>
      <c r="F244" s="42"/>
      <c r="G244" s="42"/>
      <c r="H244" s="42"/>
    </row>
    <row r="245" spans="1:8">
      <c r="A245" s="42"/>
      <c r="B245" s="42"/>
      <c r="C245" s="42"/>
      <c r="D245" s="42"/>
      <c r="E245" s="42"/>
      <c r="F245" s="42"/>
      <c r="G245" s="42"/>
      <c r="H245" s="42"/>
    </row>
    <row r="246" spans="1:8">
      <c r="A246" s="42"/>
      <c r="B246" s="42"/>
      <c r="C246" s="42"/>
      <c r="D246" s="42"/>
      <c r="E246" s="42"/>
      <c r="F246" s="42"/>
      <c r="G246" s="42"/>
      <c r="H246" s="42"/>
    </row>
    <row r="247" spans="1:8">
      <c r="A247" s="42"/>
      <c r="B247" s="42"/>
      <c r="C247" s="42"/>
      <c r="D247" s="42"/>
      <c r="E247" s="42"/>
      <c r="F247" s="42"/>
      <c r="G247" s="42"/>
      <c r="H247" s="42"/>
    </row>
    <row r="248" spans="1:8">
      <c r="A248" s="42"/>
      <c r="B248" s="42"/>
      <c r="C248" s="42"/>
      <c r="D248" s="42"/>
      <c r="E248" s="42"/>
      <c r="F248" s="42"/>
      <c r="G248" s="42"/>
      <c r="H248" s="42"/>
    </row>
    <row r="249" spans="1:8">
      <c r="A249" s="42"/>
      <c r="B249" s="42"/>
      <c r="C249" s="42"/>
      <c r="D249" s="42"/>
      <c r="E249" s="42"/>
      <c r="F249" s="42"/>
      <c r="G249" s="42"/>
      <c r="H249" s="42"/>
    </row>
    <row r="250" spans="1:8">
      <c r="A250" s="42"/>
      <c r="B250" s="42"/>
      <c r="C250" s="42"/>
      <c r="D250" s="42"/>
      <c r="E250" s="42"/>
      <c r="F250" s="42"/>
      <c r="G250" s="42"/>
      <c r="H250" s="42"/>
    </row>
    <row r="251" spans="1:8">
      <c r="A251" s="42"/>
      <c r="B251" s="42"/>
      <c r="C251" s="42"/>
      <c r="D251" s="42"/>
      <c r="E251" s="42"/>
      <c r="F251" s="42"/>
      <c r="G251" s="42"/>
      <c r="H251" s="42"/>
    </row>
    <row r="252" spans="1:8">
      <c r="A252" s="42"/>
      <c r="B252" s="42"/>
      <c r="C252" s="42"/>
      <c r="D252" s="42"/>
      <c r="E252" s="42"/>
      <c r="F252" s="42"/>
      <c r="G252" s="42"/>
      <c r="H252" s="42"/>
    </row>
    <row r="253" spans="1:8">
      <c r="A253" s="42"/>
      <c r="B253" s="42"/>
      <c r="C253" s="42"/>
      <c r="D253" s="42"/>
      <c r="E253" s="42"/>
      <c r="F253" s="42"/>
      <c r="G253" s="42"/>
      <c r="H253" s="42"/>
    </row>
    <row r="254" spans="1:8">
      <c r="A254" s="42"/>
      <c r="B254" s="42"/>
      <c r="C254" s="42"/>
      <c r="D254" s="42"/>
      <c r="E254" s="42"/>
      <c r="F254" s="42"/>
      <c r="G254" s="42"/>
      <c r="H254" s="42"/>
    </row>
    <row r="255" spans="1:8">
      <c r="A255" s="42"/>
      <c r="B255" s="42"/>
      <c r="C255" s="42"/>
      <c r="D255" s="42"/>
      <c r="E255" s="42"/>
      <c r="F255" s="42"/>
      <c r="G255" s="42"/>
      <c r="H255" s="42"/>
    </row>
    <row r="256" spans="1:8">
      <c r="A256" s="42"/>
      <c r="B256" s="42"/>
      <c r="C256" s="42"/>
      <c r="D256" s="42"/>
      <c r="E256" s="42"/>
      <c r="F256" s="42"/>
      <c r="G256" s="42"/>
      <c r="H256" s="42"/>
    </row>
    <row r="257" spans="1:8">
      <c r="A257" s="42"/>
      <c r="B257" s="42"/>
      <c r="C257" s="42"/>
      <c r="D257" s="42"/>
      <c r="E257" s="42"/>
      <c r="F257" s="42"/>
      <c r="G257" s="42"/>
      <c r="H257" s="42"/>
    </row>
    <row r="258" spans="1:8">
      <c r="A258" s="42"/>
      <c r="B258" s="42"/>
      <c r="C258" s="42"/>
      <c r="D258" s="42"/>
      <c r="E258" s="42"/>
      <c r="F258" s="42"/>
      <c r="G258" s="42"/>
      <c r="H258" s="42"/>
    </row>
    <row r="259" spans="1:8">
      <c r="A259" s="42"/>
      <c r="B259" s="42"/>
      <c r="C259" s="42"/>
      <c r="D259" s="42"/>
      <c r="E259" s="42"/>
      <c r="F259" s="42"/>
      <c r="G259" s="42"/>
      <c r="H259" s="42"/>
    </row>
    <row r="260" spans="1:8">
      <c r="A260" s="42"/>
      <c r="B260" s="42"/>
      <c r="C260" s="42"/>
      <c r="D260" s="42"/>
      <c r="E260" s="42"/>
      <c r="F260" s="42"/>
      <c r="G260" s="42"/>
      <c r="H260" s="42"/>
    </row>
    <row r="261" spans="1:8">
      <c r="A261" s="42"/>
      <c r="B261" s="42"/>
      <c r="C261" s="42"/>
      <c r="D261" s="42"/>
      <c r="E261" s="42"/>
      <c r="F261" s="42"/>
      <c r="G261" s="42"/>
      <c r="H261" s="42"/>
    </row>
    <row r="262" spans="1:8">
      <c r="A262" s="42"/>
      <c r="B262" s="42"/>
      <c r="C262" s="42"/>
      <c r="D262" s="42"/>
      <c r="E262" s="42"/>
      <c r="F262" s="42"/>
      <c r="G262" s="42"/>
      <c r="H262" s="42"/>
    </row>
    <row r="263" spans="1:8">
      <c r="A263" s="42"/>
      <c r="B263" s="42"/>
      <c r="C263" s="42"/>
      <c r="D263" s="42"/>
      <c r="E263" s="42"/>
      <c r="F263" s="42"/>
      <c r="G263" s="42"/>
      <c r="H263" s="42"/>
    </row>
    <row r="264" spans="1:8">
      <c r="A264" s="42"/>
      <c r="B264" s="42"/>
      <c r="C264" s="42"/>
      <c r="D264" s="42"/>
      <c r="E264" s="42"/>
      <c r="F264" s="42"/>
      <c r="G264" s="42"/>
      <c r="H264" s="42"/>
    </row>
    <row r="265" spans="1:8">
      <c r="A265" s="42"/>
      <c r="B265" s="42"/>
      <c r="C265" s="42"/>
      <c r="D265" s="42"/>
      <c r="E265" s="42"/>
      <c r="F265" s="42"/>
      <c r="G265" s="42"/>
      <c r="H265" s="42"/>
    </row>
    <row r="266" spans="1:8">
      <c r="A266" s="42"/>
      <c r="B266" s="42"/>
      <c r="C266" s="42"/>
      <c r="D266" s="42"/>
      <c r="E266" s="42"/>
      <c r="F266" s="42"/>
      <c r="G266" s="42"/>
      <c r="H266" s="42"/>
    </row>
    <row r="267" spans="1:8">
      <c r="A267" s="42"/>
      <c r="B267" s="42"/>
      <c r="C267" s="42"/>
      <c r="D267" s="42"/>
      <c r="E267" s="42"/>
      <c r="F267" s="42"/>
      <c r="G267" s="42"/>
      <c r="H267" s="42"/>
    </row>
    <row r="268" spans="1:8">
      <c r="A268" s="42"/>
      <c r="B268" s="42"/>
      <c r="C268" s="42"/>
      <c r="D268" s="42"/>
      <c r="E268" s="42"/>
      <c r="F268" s="42"/>
      <c r="G268" s="42"/>
      <c r="H268" s="42"/>
    </row>
    <row r="269" spans="1:8">
      <c r="A269" s="42"/>
      <c r="B269" s="42"/>
      <c r="C269" s="42"/>
      <c r="D269" s="42"/>
      <c r="E269" s="42"/>
      <c r="F269" s="42"/>
      <c r="G269" s="42"/>
      <c r="H269" s="42"/>
    </row>
    <row r="270" spans="1:8">
      <c r="A270" s="42"/>
      <c r="B270" s="42"/>
      <c r="C270" s="42"/>
      <c r="D270" s="42"/>
      <c r="E270" s="42"/>
      <c r="F270" s="42"/>
      <c r="G270" s="42"/>
      <c r="H270" s="42"/>
    </row>
    <row r="271" spans="1:8">
      <c r="A271" s="42"/>
      <c r="B271" s="42"/>
      <c r="C271" s="42"/>
      <c r="D271" s="42"/>
      <c r="E271" s="42"/>
      <c r="F271" s="42"/>
      <c r="G271" s="42"/>
      <c r="H271" s="42"/>
    </row>
    <row r="272" spans="1:8">
      <c r="A272" s="42"/>
      <c r="B272" s="42"/>
      <c r="C272" s="42"/>
      <c r="D272" s="42"/>
      <c r="E272" s="42"/>
      <c r="F272" s="42"/>
      <c r="G272" s="42"/>
      <c r="H272" s="42"/>
    </row>
    <row r="273" spans="1:8">
      <c r="A273" s="42"/>
      <c r="B273" s="42"/>
      <c r="C273" s="42"/>
      <c r="D273" s="42"/>
      <c r="E273" s="42"/>
      <c r="F273" s="42"/>
      <c r="G273" s="42"/>
      <c r="H273" s="42"/>
    </row>
    <row r="274" spans="1:8">
      <c r="A274" s="42"/>
      <c r="B274" s="42"/>
      <c r="C274" s="42"/>
      <c r="D274" s="42"/>
      <c r="E274" s="42"/>
      <c r="F274" s="42"/>
      <c r="G274" s="42"/>
      <c r="H274" s="42"/>
    </row>
    <row r="275" spans="1:8">
      <c r="A275" s="42"/>
      <c r="B275" s="42"/>
      <c r="C275" s="42"/>
      <c r="D275" s="42"/>
      <c r="E275" s="42"/>
      <c r="F275" s="42"/>
      <c r="G275" s="42"/>
      <c r="H275" s="42"/>
    </row>
    <row r="276" spans="1:8">
      <c r="A276" s="42"/>
      <c r="B276" s="42"/>
      <c r="C276" s="42"/>
      <c r="D276" s="42"/>
      <c r="E276" s="42"/>
      <c r="F276" s="42"/>
      <c r="G276" s="42"/>
      <c r="H276" s="42"/>
    </row>
    <row r="277" spans="1:8">
      <c r="A277" s="42"/>
      <c r="B277" s="42"/>
      <c r="C277" s="42"/>
      <c r="D277" s="42"/>
      <c r="E277" s="42"/>
      <c r="F277" s="42"/>
      <c r="G277" s="42"/>
      <c r="H277" s="42"/>
    </row>
    <row r="278" spans="1:8">
      <c r="A278" s="42"/>
      <c r="B278" s="42"/>
      <c r="C278" s="42"/>
      <c r="D278" s="42"/>
      <c r="E278" s="42"/>
      <c r="F278" s="42"/>
      <c r="G278" s="42"/>
      <c r="H278" s="42"/>
    </row>
    <row r="279" spans="1:8">
      <c r="A279" s="42"/>
      <c r="B279" s="42"/>
      <c r="C279" s="42"/>
      <c r="D279" s="42"/>
      <c r="E279" s="42"/>
      <c r="F279" s="42"/>
      <c r="G279" s="42"/>
      <c r="H279" s="42"/>
    </row>
    <row r="280" spans="1:8">
      <c r="A280" s="42"/>
      <c r="B280" s="42"/>
      <c r="C280" s="42"/>
      <c r="D280" s="42"/>
      <c r="E280" s="42"/>
      <c r="F280" s="42"/>
      <c r="G280" s="42"/>
      <c r="H280" s="42"/>
    </row>
    <row r="281" spans="1:8">
      <c r="A281" s="42"/>
      <c r="B281" s="42"/>
      <c r="C281" s="42"/>
      <c r="D281" s="42"/>
      <c r="E281" s="42"/>
      <c r="F281" s="42"/>
      <c r="G281" s="42"/>
      <c r="H281" s="42"/>
    </row>
    <row r="282" spans="1:8">
      <c r="A282" s="42"/>
      <c r="B282" s="42"/>
      <c r="C282" s="42"/>
      <c r="D282" s="42"/>
      <c r="E282" s="42"/>
      <c r="F282" s="42"/>
      <c r="G282" s="42"/>
      <c r="H282" s="42"/>
    </row>
    <row r="283" spans="1:8">
      <c r="A283" s="42"/>
      <c r="B283" s="42"/>
      <c r="C283" s="42"/>
      <c r="D283" s="42"/>
      <c r="E283" s="42"/>
      <c r="F283" s="42"/>
      <c r="G283" s="42"/>
      <c r="H283" s="42"/>
    </row>
    <row r="284" spans="1:8">
      <c r="A284" s="42"/>
      <c r="B284" s="42"/>
      <c r="C284" s="42"/>
      <c r="D284" s="42"/>
      <c r="E284" s="42"/>
      <c r="F284" s="42"/>
      <c r="G284" s="42"/>
      <c r="H284" s="42"/>
    </row>
    <row r="285" spans="1:8">
      <c r="A285" s="42"/>
      <c r="B285" s="42"/>
      <c r="C285" s="42"/>
      <c r="D285" s="42"/>
      <c r="E285" s="42"/>
      <c r="F285" s="42"/>
      <c r="G285" s="42"/>
      <c r="H285" s="42"/>
    </row>
    <row r="286" spans="1:8">
      <c r="A286" s="42"/>
      <c r="B286" s="42"/>
      <c r="C286" s="42"/>
      <c r="D286" s="42"/>
      <c r="E286" s="42"/>
      <c r="F286" s="42"/>
      <c r="G286" s="42"/>
      <c r="H286" s="42"/>
    </row>
    <row r="287" spans="1:8">
      <c r="A287" s="42"/>
      <c r="B287" s="42"/>
      <c r="C287" s="42"/>
      <c r="D287" s="42"/>
      <c r="E287" s="42"/>
      <c r="F287" s="42"/>
      <c r="G287" s="42"/>
      <c r="H287" s="42"/>
    </row>
    <row r="288" spans="1:8">
      <c r="A288" s="42"/>
      <c r="B288" s="42"/>
      <c r="C288" s="42"/>
      <c r="D288" s="42"/>
      <c r="E288" s="42"/>
      <c r="F288" s="42"/>
      <c r="G288" s="42"/>
      <c r="H288" s="42"/>
    </row>
    <row r="289" spans="1:8">
      <c r="A289" s="42"/>
      <c r="B289" s="42"/>
      <c r="C289" s="42"/>
      <c r="D289" s="42"/>
      <c r="E289" s="42"/>
      <c r="F289" s="42"/>
      <c r="G289" s="42"/>
      <c r="H289" s="42"/>
    </row>
    <row r="290" spans="1:8">
      <c r="A290" s="42"/>
      <c r="B290" s="42"/>
      <c r="C290" s="42"/>
      <c r="D290" s="42"/>
      <c r="E290" s="42"/>
      <c r="F290" s="42"/>
      <c r="G290" s="42"/>
      <c r="H290" s="42"/>
    </row>
    <row r="291" spans="1:8">
      <c r="A291" s="42"/>
      <c r="B291" s="42"/>
      <c r="C291" s="42"/>
      <c r="D291" s="42"/>
      <c r="E291" s="42"/>
      <c r="F291" s="42"/>
      <c r="G291" s="42"/>
      <c r="H291" s="42"/>
    </row>
    <row r="292" spans="1:8">
      <c r="A292" s="42"/>
      <c r="B292" s="42"/>
      <c r="C292" s="42"/>
      <c r="D292" s="42"/>
      <c r="E292" s="42"/>
      <c r="F292" s="42"/>
      <c r="G292" s="42"/>
      <c r="H292" s="42"/>
    </row>
    <row r="293" spans="1:8">
      <c r="A293" s="42"/>
      <c r="B293" s="42"/>
      <c r="C293" s="42"/>
      <c r="D293" s="42"/>
      <c r="E293" s="42"/>
      <c r="F293" s="42"/>
      <c r="G293" s="42"/>
      <c r="H293" s="42"/>
    </row>
    <row r="294" spans="1:8">
      <c r="A294" s="42"/>
      <c r="B294" s="42"/>
      <c r="C294" s="42"/>
      <c r="D294" s="42"/>
      <c r="E294" s="42"/>
      <c r="F294" s="42"/>
      <c r="G294" s="42"/>
      <c r="H294" s="42"/>
    </row>
    <row r="295" spans="1:8">
      <c r="A295" s="42"/>
      <c r="B295" s="42"/>
      <c r="C295" s="42"/>
      <c r="D295" s="42"/>
      <c r="E295" s="42"/>
      <c r="F295" s="42"/>
      <c r="G295" s="42"/>
      <c r="H295" s="42"/>
    </row>
    <row r="296" spans="1:8">
      <c r="A296" s="42"/>
      <c r="B296" s="42"/>
      <c r="C296" s="42"/>
      <c r="D296" s="42"/>
      <c r="E296" s="42"/>
      <c r="F296" s="42"/>
      <c r="G296" s="42"/>
      <c r="H296" s="42"/>
    </row>
    <row r="297" spans="1:8">
      <c r="A297" s="42"/>
      <c r="B297" s="42"/>
      <c r="C297" s="42"/>
      <c r="D297" s="42"/>
      <c r="E297" s="42"/>
      <c r="F297" s="42"/>
      <c r="G297" s="42"/>
      <c r="H297" s="42"/>
    </row>
    <row r="298" spans="1:8">
      <c r="A298" s="42"/>
      <c r="B298" s="42"/>
      <c r="C298" s="42"/>
      <c r="D298" s="42"/>
      <c r="E298" s="42"/>
      <c r="F298" s="42"/>
      <c r="G298" s="42"/>
      <c r="H298" s="42"/>
    </row>
    <row r="299" spans="1:8">
      <c r="A299" s="42"/>
      <c r="B299" s="42"/>
      <c r="C299" s="42"/>
      <c r="D299" s="42"/>
      <c r="E299" s="42"/>
      <c r="F299" s="42"/>
      <c r="G299" s="42"/>
      <c r="H299" s="42"/>
    </row>
    <row r="300" spans="1:8">
      <c r="A300" s="42"/>
      <c r="B300" s="42"/>
      <c r="C300" s="42"/>
      <c r="D300" s="42"/>
      <c r="E300" s="42"/>
      <c r="F300" s="42"/>
      <c r="G300" s="42"/>
      <c r="H300" s="42"/>
    </row>
  </sheetData>
  <mergeCells count="7">
    <mergeCell ref="A3:H3"/>
    <mergeCell ref="A15:H15"/>
    <mergeCell ref="A2:H2"/>
    <mergeCell ref="A58:H58"/>
    <mergeCell ref="A1:H1"/>
    <mergeCell ref="A6:H6"/>
    <mergeCell ref="A34:H3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selection sqref="A1:C1"/>
    </sheetView>
  </sheetViews>
  <sheetFormatPr defaultRowHeight="15"/>
  <cols>
    <col min="1" max="1" width="14" customWidth="1"/>
    <col min="2" max="2" width="12" customWidth="1"/>
    <col min="3" max="3" width="14" customWidth="1"/>
    <col min="5" max="5" width="5" customWidth="1"/>
    <col min="6" max="6" width="22" customWidth="1"/>
    <col min="7" max="7" width="10" customWidth="1"/>
    <col min="8" max="8" width="70" customWidth="1"/>
  </cols>
  <sheetData>
    <row r="1" spans="1:8" ht="21.95" customHeight="1">
      <c r="A1" s="68" t="s">
        <v>240</v>
      </c>
      <c r="B1" s="67"/>
      <c r="C1" s="67"/>
      <c r="D1" s="50"/>
      <c r="E1" s="68" t="s">
        <v>241</v>
      </c>
      <c r="F1" s="67"/>
      <c r="G1" s="67"/>
      <c r="H1" s="67"/>
    </row>
    <row r="2" spans="1:8">
      <c r="A2" s="49" t="s">
        <v>242</v>
      </c>
      <c r="B2" s="49" t="s">
        <v>243</v>
      </c>
      <c r="C2" s="49" t="s">
        <v>244</v>
      </c>
      <c r="D2" s="50"/>
      <c r="E2" s="49" t="s">
        <v>41</v>
      </c>
      <c r="F2" s="49" t="s">
        <v>245</v>
      </c>
      <c r="G2" s="49" t="s">
        <v>246</v>
      </c>
      <c r="H2" s="49" t="s">
        <v>247</v>
      </c>
    </row>
    <row r="3" spans="1:8" ht="27.95" customHeight="1">
      <c r="A3" s="20" t="s">
        <v>248</v>
      </c>
      <c r="B3" s="20" t="s">
        <v>249</v>
      </c>
      <c r="C3" s="1"/>
      <c r="D3" s="50"/>
      <c r="E3" s="21">
        <v>1</v>
      </c>
      <c r="F3" s="22" t="s">
        <v>65</v>
      </c>
      <c r="G3" s="23"/>
      <c r="H3" s="24" t="s">
        <v>250</v>
      </c>
    </row>
    <row r="4" spans="1:8" ht="27.95" customHeight="1">
      <c r="A4" s="20" t="s">
        <v>251</v>
      </c>
      <c r="B4" s="20" t="s">
        <v>252</v>
      </c>
      <c r="C4" s="16"/>
      <c r="D4" s="50"/>
      <c r="E4" s="21">
        <v>2</v>
      </c>
      <c r="F4" s="22" t="s">
        <v>253</v>
      </c>
      <c r="G4" s="25"/>
      <c r="H4" s="24" t="s">
        <v>254</v>
      </c>
    </row>
    <row r="5" spans="1:8" ht="27.95" customHeight="1">
      <c r="A5" s="20" t="s">
        <v>255</v>
      </c>
      <c r="B5" s="20" t="s">
        <v>256</v>
      </c>
      <c r="C5" s="17"/>
      <c r="D5" s="50"/>
      <c r="E5" s="21">
        <v>3</v>
      </c>
      <c r="F5" s="22" t="s">
        <v>10</v>
      </c>
      <c r="G5" s="26"/>
      <c r="H5" s="24" t="s">
        <v>257</v>
      </c>
    </row>
    <row r="6" spans="1:8" ht="27.95" customHeight="1">
      <c r="A6" s="20" t="s">
        <v>258</v>
      </c>
      <c r="B6" s="20" t="s">
        <v>259</v>
      </c>
      <c r="C6" s="18"/>
      <c r="D6" s="50"/>
      <c r="E6" s="21">
        <v>4</v>
      </c>
      <c r="F6" s="22" t="s">
        <v>260</v>
      </c>
      <c r="G6" s="27"/>
      <c r="H6" s="24" t="s">
        <v>261</v>
      </c>
    </row>
    <row r="7" spans="1:8" ht="27.95" customHeight="1">
      <c r="A7" s="20" t="s">
        <v>262</v>
      </c>
      <c r="B7" s="20" t="s">
        <v>263</v>
      </c>
      <c r="C7" s="19"/>
      <c r="D7" s="50"/>
      <c r="E7" s="21">
        <v>5</v>
      </c>
      <c r="F7" s="22" t="s">
        <v>13</v>
      </c>
      <c r="G7" s="28"/>
      <c r="H7" s="24" t="s">
        <v>264</v>
      </c>
    </row>
    <row r="8" spans="1:8" ht="27.95" customHeight="1">
      <c r="A8" s="50"/>
      <c r="B8" s="50"/>
      <c r="C8" s="50"/>
      <c r="D8" s="50"/>
      <c r="E8" s="21">
        <v>6</v>
      </c>
      <c r="F8" s="22" t="s">
        <v>14</v>
      </c>
      <c r="G8" s="29"/>
      <c r="H8" s="24" t="s">
        <v>265</v>
      </c>
    </row>
    <row r="9" spans="1:8" ht="27.95" customHeight="1">
      <c r="A9" s="50"/>
      <c r="B9" s="50"/>
      <c r="C9" s="50"/>
      <c r="D9" s="50"/>
      <c r="E9" s="21">
        <v>7</v>
      </c>
      <c r="F9" s="22" t="s">
        <v>15</v>
      </c>
      <c r="G9" s="30"/>
      <c r="H9" s="24" t="s">
        <v>266</v>
      </c>
    </row>
    <row r="10" spans="1:8" ht="27.95" customHeight="1">
      <c r="A10" s="50"/>
      <c r="B10" s="50"/>
      <c r="C10" s="50"/>
      <c r="D10" s="50"/>
      <c r="E10" s="21">
        <v>8</v>
      </c>
      <c r="F10" s="22" t="s">
        <v>16</v>
      </c>
      <c r="G10" s="31"/>
      <c r="H10" s="24" t="s">
        <v>267</v>
      </c>
    </row>
    <row r="11" spans="1:8" ht="27.95" customHeight="1">
      <c r="A11" s="50"/>
      <c r="B11" s="50"/>
      <c r="C11" s="50"/>
      <c r="D11" s="50"/>
      <c r="E11" s="21">
        <v>9</v>
      </c>
      <c r="F11" s="22" t="s">
        <v>17</v>
      </c>
      <c r="G11" s="32"/>
      <c r="H11" s="24" t="s">
        <v>268</v>
      </c>
    </row>
    <row r="14" spans="1:8" ht="15.75" customHeight="1">
      <c r="A14" s="50"/>
      <c r="B14" s="50"/>
      <c r="C14" s="50"/>
      <c r="D14" s="50"/>
      <c r="E14" s="68" t="s">
        <v>269</v>
      </c>
      <c r="F14" s="67"/>
      <c r="G14" s="67"/>
      <c r="H14" s="67"/>
    </row>
    <row r="15" spans="1:8" ht="24" customHeight="1">
      <c r="A15" s="50"/>
      <c r="B15" s="50"/>
      <c r="C15" s="50"/>
      <c r="D15" s="50"/>
      <c r="E15" s="33" t="s">
        <v>270</v>
      </c>
      <c r="F15" s="34"/>
      <c r="G15" s="35"/>
      <c r="H15" s="24" t="s">
        <v>271</v>
      </c>
    </row>
    <row r="16" spans="1:8" ht="24" customHeight="1">
      <c r="A16" s="50"/>
      <c r="B16" s="50"/>
      <c r="C16" s="50"/>
      <c r="D16" s="50"/>
      <c r="E16" s="33" t="s">
        <v>54</v>
      </c>
      <c r="F16" s="34"/>
      <c r="G16" s="36"/>
      <c r="H16" s="24" t="s">
        <v>272</v>
      </c>
    </row>
    <row r="17" spans="5:8" ht="24" customHeight="1">
      <c r="E17" s="33" t="s">
        <v>60</v>
      </c>
      <c r="F17" s="34"/>
      <c r="G17" s="37"/>
      <c r="H17" s="24" t="s">
        <v>273</v>
      </c>
    </row>
  </sheetData>
  <mergeCells count="3">
    <mergeCell ref="A1:C1"/>
    <mergeCell ref="E14:H14"/>
    <mergeCell ref="E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
  <sheetViews>
    <sheetView topLeftCell="A5" workbookViewId="0">
      <selection activeCell="J14" sqref="J14"/>
    </sheetView>
  </sheetViews>
  <sheetFormatPr defaultRowHeight="15"/>
  <cols>
    <col min="1" max="1" width="26" customWidth="1"/>
    <col min="2" max="2" width="100" customWidth="1"/>
  </cols>
  <sheetData>
    <row r="1" spans="1:2" ht="32.1" customHeight="1">
      <c r="A1" s="56" t="s">
        <v>274</v>
      </c>
      <c r="B1" s="67"/>
    </row>
    <row r="2" spans="1:2" ht="39" customHeight="1">
      <c r="A2" s="52" t="s">
        <v>275</v>
      </c>
      <c r="B2" s="53" t="s">
        <v>276</v>
      </c>
    </row>
    <row r="3" spans="1:2" ht="39" customHeight="1">
      <c r="A3" s="52" t="s">
        <v>277</v>
      </c>
      <c r="B3" s="53" t="s">
        <v>278</v>
      </c>
    </row>
    <row r="4" spans="1:2" ht="65.099999999999994" customHeight="1">
      <c r="A4" s="52" t="s">
        <v>279</v>
      </c>
      <c r="B4" s="53" t="s">
        <v>280</v>
      </c>
    </row>
    <row r="5" spans="1:2" ht="39" customHeight="1">
      <c r="A5" s="52" t="s">
        <v>281</v>
      </c>
      <c r="B5" s="53" t="s">
        <v>282</v>
      </c>
    </row>
    <row r="6" spans="1:2" ht="51.95" customHeight="1">
      <c r="A6" s="52" t="s">
        <v>283</v>
      </c>
      <c r="B6" s="53" t="s">
        <v>284</v>
      </c>
    </row>
    <row r="7" spans="1:2" ht="78" customHeight="1">
      <c r="A7" s="52" t="s">
        <v>285</v>
      </c>
      <c r="B7" s="53" t="s">
        <v>286</v>
      </c>
    </row>
    <row r="8" spans="1:2" ht="39" customHeight="1">
      <c r="A8" s="52" t="s">
        <v>287</v>
      </c>
      <c r="B8" s="53" t="s">
        <v>288</v>
      </c>
    </row>
    <row r="9" spans="1:2" ht="78" customHeight="1">
      <c r="A9" s="52" t="s">
        <v>289</v>
      </c>
      <c r="B9" s="53" t="s">
        <v>290</v>
      </c>
    </row>
    <row r="10" spans="1:2" ht="78" customHeight="1">
      <c r="A10" s="52" t="s">
        <v>49</v>
      </c>
      <c r="B10" s="53" t="s">
        <v>291</v>
      </c>
    </row>
    <row r="11" spans="1:2" ht="39" customHeight="1">
      <c r="A11" s="52" t="s">
        <v>292</v>
      </c>
      <c r="B11" s="53" t="s">
        <v>293</v>
      </c>
    </row>
    <row r="12" spans="1:2" ht="51.95" customHeight="1">
      <c r="A12" s="52" t="s">
        <v>294</v>
      </c>
      <c r="B12" s="53" t="s">
        <v>295</v>
      </c>
    </row>
    <row r="13" spans="1:2" ht="39" customHeight="1">
      <c r="A13" s="52" t="s">
        <v>296</v>
      </c>
      <c r="B13" s="53" t="s">
        <v>297</v>
      </c>
    </row>
    <row r="14" spans="1:2" ht="30" customHeight="1">
      <c r="A14" s="52" t="s">
        <v>7</v>
      </c>
      <c r="B14" s="53" t="s">
        <v>298</v>
      </c>
    </row>
    <row r="15" spans="1:2" ht="39" customHeight="1">
      <c r="A15" s="52" t="s">
        <v>299</v>
      </c>
      <c r="B15" s="53" t="s">
        <v>300</v>
      </c>
    </row>
    <row r="16" spans="1:2" ht="30" customHeight="1">
      <c r="A16" s="52" t="s">
        <v>301</v>
      </c>
      <c r="B16" s="53" t="s">
        <v>302</v>
      </c>
    </row>
    <row r="17" spans="1:2" ht="30" customHeight="1">
      <c r="A17" s="52" t="s">
        <v>303</v>
      </c>
      <c r="B17" s="53" t="s">
        <v>304</v>
      </c>
    </row>
    <row r="18" spans="1:2" ht="30" customHeight="1">
      <c r="A18" s="52" t="s">
        <v>305</v>
      </c>
      <c r="B18" s="53" t="s">
        <v>306</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30AB960773BB44689097B06D5A42A9F" ma:contentTypeVersion="10" ma:contentTypeDescription="Create a new document." ma:contentTypeScope="" ma:versionID="2801db713cff03c57e9dfdfebd2dcc4f">
  <xsd:schema xmlns:xsd="http://www.w3.org/2001/XMLSchema" xmlns:xs="http://www.w3.org/2001/XMLSchema" xmlns:p="http://schemas.microsoft.com/office/2006/metadata/properties" xmlns:ns2="390bc683-c797-4756-ace6-20f492618f3a" xmlns:ns3="f17a6161-cd80-4ef5-ad3e-eccfc6bb8714" targetNamespace="http://schemas.microsoft.com/office/2006/metadata/properties" ma:root="true" ma:fieldsID="a3b52c4ba4f9841d9193a934996e1f66" ns2:_="" ns3:_="">
    <xsd:import namespace="390bc683-c797-4756-ace6-20f492618f3a"/>
    <xsd:import namespace="f17a6161-cd80-4ef5-ad3e-eccfc6bb87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0bc683-c797-4756-ace6-20f492618f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b9d0f51-a88c-48cf-b647-7f5279bd6da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7a6161-cd80-4ef5-ad3e-eccfc6bb87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8cae9c-3bd3-462e-acaf-efe4dbaf25f2}" ma:internalName="TaxCatchAll" ma:showField="CatchAllData" ma:web="f17a6161-cd80-4ef5-ad3e-eccfc6bb87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0bc683-c797-4756-ace6-20f492618f3a">
      <Terms xmlns="http://schemas.microsoft.com/office/infopath/2007/PartnerControls"/>
    </lcf76f155ced4ddcb4097134ff3c332f>
    <TaxCatchAll xmlns="f17a6161-cd80-4ef5-ad3e-eccfc6bb8714" xsi:nil="true"/>
  </documentManagement>
</p:properties>
</file>

<file path=customXml/itemProps1.xml><?xml version="1.0" encoding="utf-8"?>
<ds:datastoreItem xmlns:ds="http://schemas.openxmlformats.org/officeDocument/2006/customXml" ds:itemID="{9E5CCE5C-01CE-47E1-822C-129DBAEFFADC}"/>
</file>

<file path=customXml/itemProps2.xml><?xml version="1.0" encoding="utf-8"?>
<ds:datastoreItem xmlns:ds="http://schemas.openxmlformats.org/officeDocument/2006/customXml" ds:itemID="{425FFC66-F22B-4E56-BD9C-B405BFED4CCB}"/>
</file>

<file path=customXml/itemProps3.xml><?xml version="1.0" encoding="utf-8"?>
<ds:datastoreItem xmlns:ds="http://schemas.openxmlformats.org/officeDocument/2006/customXml" ds:itemID="{D362AEB0-BD87-43F2-AB6C-169993535A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Shop</cp:lastModifiedBy>
  <cp:revision/>
  <dcterms:created xsi:type="dcterms:W3CDTF">2026-06-17T17:42:56Z</dcterms:created>
  <dcterms:modified xsi:type="dcterms:W3CDTF">2026-07-08T16:09:24Z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0x010100930AB960773BB44689097B06D5A42A9F</vt:lpwstr>
  </property>
  <property fmtid="{D5CDD505-2E9C-101B-9397-08002B2CF9AE}" pid="3" name="MediaServiceImageTags">
    <vt:lpwstr/>
  </property>
</Properties>
</file>